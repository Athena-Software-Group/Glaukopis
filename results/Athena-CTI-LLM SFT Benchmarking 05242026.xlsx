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Glaukopis/results/"/>
    </mc:Choice>
  </mc:AlternateContent>
  <xr:revisionPtr revIDLastSave="953" documentId="8_{1A3BC4E9-9598-CD4A-AA65-706C258244C0}" xr6:coauthVersionLast="47" xr6:coauthVersionMax="47" xr10:uidLastSave="{97883234-4449-184D-8BB9-AA00DA8A336F}"/>
  <bookViews>
    <workbookView xWindow="53420" yWindow="280" windowWidth="55800" windowHeight="25040" activeTab="1" xr2:uid="{00000000-000D-0000-FFFF-FFFF00000000}"/>
  </bookViews>
  <sheets>
    <sheet name="Final wMMLUPro-v21" sheetId="13" r:id="rId1"/>
    <sheet name="Cost" sheetId="18" r:id="rId2"/>
    <sheet name="MMLU Pro" sheetId="15" r:id="rId3"/>
    <sheet name="Final  (v21) 14B 32B" sheetId="12" r:id="rId4"/>
    <sheet name="Prod Target (v21)" sheetId="11" r:id="rId5"/>
    <sheet name="Glaukopis Baseline (v20)" sheetId="10" r:id="rId6"/>
    <sheet name="Glaukopis Baseline (TEST II))" sheetId="9" r:id="rId7"/>
    <sheet name="Glaukopis (TEST)" sheetId="7" r:id="rId8"/>
    <sheet name="Glaukopis (deprecated)" sheetId="1" r:id="rId9"/>
    <sheet name="AthenaBench (deprecated)" sheetId="2" r:id="rId10"/>
    <sheet name="Cyber Metric" sheetId="3" r:id="rId11"/>
    <sheet name="CTIBench" sheetId="4" r:id="rId12"/>
    <sheet name="NLU Benchmarks" sheetId="5" r:id="rId13"/>
    <sheet name="AthenaBench run (Cost)" sheetId="6" r:id="rId14"/>
  </sheets>
  <definedNames>
    <definedName name="cost_summary" localSheetId="1">Cost!$A$1:$L$30</definedName>
    <definedName name="Untitled" localSheetId="2">'MMLU Pro'!$A$1:$T$36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13" l="1"/>
  <c r="AA29" i="13"/>
  <c r="T29" i="13"/>
  <c r="AA27" i="13"/>
  <c r="E27" i="13" s="1"/>
  <c r="T27" i="13"/>
  <c r="D27" i="13" s="1"/>
  <c r="AA42" i="13"/>
  <c r="E42" i="13" s="1"/>
  <c r="AA41" i="13"/>
  <c r="E41" i="13" s="1"/>
  <c r="AA40" i="13"/>
  <c r="E40" i="13" s="1"/>
  <c r="AA39" i="13"/>
  <c r="E39" i="13" s="1"/>
  <c r="AA38" i="13"/>
  <c r="E38" i="13" s="1"/>
  <c r="AA36" i="13"/>
  <c r="AA35" i="13"/>
  <c r="E35" i="13" s="1"/>
  <c r="AA34" i="13"/>
  <c r="E34" i="13" s="1"/>
  <c r="AA32" i="13"/>
  <c r="E32" i="13" s="1"/>
  <c r="AA33" i="13"/>
  <c r="E33" i="13" s="1"/>
  <c r="AA30" i="13"/>
  <c r="E30" i="13" s="1"/>
  <c r="AA28" i="13"/>
  <c r="E28" i="13" s="1"/>
  <c r="AA26" i="13"/>
  <c r="E26" i="13" s="1"/>
  <c r="E29" i="13"/>
  <c r="AA24" i="13"/>
  <c r="AA23" i="13"/>
  <c r="C23" i="13" s="1"/>
  <c r="AA22" i="13"/>
  <c r="C22" i="13" s="1"/>
  <c r="AA21" i="13"/>
  <c r="C21" i="13" s="1"/>
  <c r="AA20" i="13"/>
  <c r="C20" i="13" s="1"/>
  <c r="AA19" i="13"/>
  <c r="C19" i="13" s="1"/>
  <c r="AA17" i="13"/>
  <c r="AA16" i="13"/>
  <c r="E16" i="13" s="1"/>
  <c r="AA15" i="13"/>
  <c r="E15" i="13" s="1"/>
  <c r="AA14" i="13"/>
  <c r="E14" i="13" s="1"/>
  <c r="AA13" i="13"/>
  <c r="E13" i="13" s="1"/>
  <c r="AA12" i="13"/>
  <c r="E12" i="13" s="1"/>
  <c r="D29" i="13"/>
  <c r="AA8" i="13"/>
  <c r="AD8" i="13"/>
  <c r="T8" i="13"/>
  <c r="D8" i="13" s="1"/>
  <c r="AA5" i="13"/>
  <c r="AD5" i="13"/>
  <c r="T40" i="13"/>
  <c r="D40" i="13" s="1"/>
  <c r="T5" i="13"/>
  <c r="V5" i="13" s="1"/>
  <c r="AD24" i="13"/>
  <c r="T24" i="13"/>
  <c r="D24" i="13" s="1"/>
  <c r="T38" i="13"/>
  <c r="D38" i="13" s="1"/>
  <c r="T39" i="13"/>
  <c r="D39" i="13" s="1"/>
  <c r="E36" i="13"/>
  <c r="T30" i="13"/>
  <c r="D30" i="13" s="1"/>
  <c r="T28" i="13"/>
  <c r="D28" i="13" s="1"/>
  <c r="T26" i="13"/>
  <c r="D26" i="13" s="1"/>
  <c r="T36" i="13"/>
  <c r="D36" i="13" s="1"/>
  <c r="T35" i="13"/>
  <c r="D35" i="13" s="1"/>
  <c r="T34" i="13"/>
  <c r="D34" i="13" s="1"/>
  <c r="T32" i="13"/>
  <c r="D32" i="13" s="1"/>
  <c r="T33" i="13"/>
  <c r="D33" i="13" s="1"/>
  <c r="T42" i="13"/>
  <c r="D42" i="13" s="1"/>
  <c r="T41" i="13"/>
  <c r="D41" i="13" s="1"/>
  <c r="T17" i="13"/>
  <c r="D17" i="13" s="1"/>
  <c r="T16" i="13"/>
  <c r="D16" i="13" s="1"/>
  <c r="T15" i="13"/>
  <c r="D15" i="13" s="1"/>
  <c r="T14" i="13"/>
  <c r="D14" i="13" s="1"/>
  <c r="T13" i="13"/>
  <c r="D13" i="13" s="1"/>
  <c r="T12" i="13"/>
  <c r="D12" i="13" s="1"/>
  <c r="AD6" i="13"/>
  <c r="AA6" i="13"/>
  <c r="T6" i="13"/>
  <c r="D6" i="13" s="1"/>
  <c r="AD17" i="13"/>
  <c r="V17" i="13"/>
  <c r="U17" i="13"/>
  <c r="AD10" i="13"/>
  <c r="AA10" i="13"/>
  <c r="T10" i="13"/>
  <c r="V10" i="13" s="1"/>
  <c r="AD9" i="13"/>
  <c r="AA9" i="13"/>
  <c r="T9" i="13"/>
  <c r="V9" i="13" s="1"/>
  <c r="AD7" i="13"/>
  <c r="AA7" i="13"/>
  <c r="T7" i="13"/>
  <c r="V7" i="13" s="1"/>
  <c r="AA11" i="12"/>
  <c r="X11" i="12"/>
  <c r="Q11" i="12"/>
  <c r="AC11" i="12" s="1"/>
  <c r="Q18" i="12"/>
  <c r="S18" i="12" s="1"/>
  <c r="X18" i="12"/>
  <c r="AA18" i="12"/>
  <c r="X13" i="12"/>
  <c r="AA13" i="12"/>
  <c r="Q13" i="12"/>
  <c r="AC13" i="12" s="1"/>
  <c r="AA23" i="12"/>
  <c r="X23" i="12"/>
  <c r="Q23" i="12"/>
  <c r="AC23" i="12" s="1"/>
  <c r="AA5" i="12"/>
  <c r="X5" i="12"/>
  <c r="Q5" i="12"/>
  <c r="AC5" i="12" s="1"/>
  <c r="AA6" i="12"/>
  <c r="X6" i="12"/>
  <c r="Q6" i="12"/>
  <c r="AC6" i="12" s="1"/>
  <c r="Q27" i="12"/>
  <c r="AC27" i="12" s="1"/>
  <c r="Q26" i="12"/>
  <c r="AC26" i="12" s="1"/>
  <c r="Q25" i="12"/>
  <c r="R25" i="12" s="1"/>
  <c r="Q24" i="12"/>
  <c r="AC24" i="12" s="1"/>
  <c r="Q22" i="12"/>
  <c r="R22" i="12" s="1"/>
  <c r="Q21" i="12"/>
  <c r="AC21" i="12" s="1"/>
  <c r="Q19" i="12"/>
  <c r="AC19" i="12" s="1"/>
  <c r="Q20" i="12"/>
  <c r="AC20" i="12" s="1"/>
  <c r="Q16" i="12"/>
  <c r="S16" i="12" s="1"/>
  <c r="Q15" i="12"/>
  <c r="S15" i="12" s="1"/>
  <c r="Q17" i="12"/>
  <c r="R17" i="12" s="1"/>
  <c r="Q14" i="12"/>
  <c r="S14" i="12" s="1"/>
  <c r="Q12" i="12"/>
  <c r="S12" i="12" s="1"/>
  <c r="Q10" i="12"/>
  <c r="AC10" i="12" s="1"/>
  <c r="Q9" i="12"/>
  <c r="AC9" i="12" s="1"/>
  <c r="Q8" i="12"/>
  <c r="AC8" i="12" s="1"/>
  <c r="Q7" i="12"/>
  <c r="AC7" i="12" s="1"/>
  <c r="X15" i="12"/>
  <c r="AA15" i="12"/>
  <c r="X14" i="12"/>
  <c r="AA14" i="12"/>
  <c r="X16" i="12"/>
  <c r="AA16" i="12"/>
  <c r="C10" i="13" l="1"/>
  <c r="C35" i="13"/>
  <c r="C39" i="13"/>
  <c r="C7" i="13"/>
  <c r="C34" i="13"/>
  <c r="C41" i="13"/>
  <c r="C5" i="13"/>
  <c r="C33" i="13"/>
  <c r="C38" i="13"/>
  <c r="C17" i="13"/>
  <c r="C8" i="13"/>
  <c r="C24" i="13"/>
  <c r="C6" i="13"/>
  <c r="C9" i="13"/>
  <c r="C32" i="13"/>
  <c r="C27" i="13"/>
  <c r="C30" i="13"/>
  <c r="C40" i="13"/>
  <c r="C12" i="13"/>
  <c r="C26" i="13"/>
  <c r="C28" i="13"/>
  <c r="C36" i="13"/>
  <c r="C29" i="13"/>
  <c r="C42" i="13"/>
  <c r="C14" i="13"/>
  <c r="C15" i="13"/>
  <c r="C13" i="13"/>
  <c r="C16" i="13"/>
  <c r="U8" i="13"/>
  <c r="V8" i="13"/>
  <c r="E8" i="13" s="1"/>
  <c r="D5" i="13"/>
  <c r="E5" i="13"/>
  <c r="U5" i="13"/>
  <c r="U24" i="13"/>
  <c r="V24" i="13"/>
  <c r="E24" i="13" s="1"/>
  <c r="E10" i="13"/>
  <c r="E17" i="13"/>
  <c r="V6" i="13"/>
  <c r="E6" i="13" s="1"/>
  <c r="U6" i="13"/>
  <c r="D7" i="13"/>
  <c r="U7" i="13"/>
  <c r="D10" i="13"/>
  <c r="E7" i="13"/>
  <c r="E9" i="13"/>
  <c r="D9" i="13"/>
  <c r="U10" i="13"/>
  <c r="U9" i="13"/>
  <c r="S11" i="12"/>
  <c r="AB11" i="12" s="1"/>
  <c r="R11" i="12"/>
  <c r="AB18" i="12"/>
  <c r="AC18" i="12"/>
  <c r="R18" i="12"/>
  <c r="S13" i="12"/>
  <c r="AB13" i="12" s="1"/>
  <c r="R13" i="12"/>
  <c r="S23" i="12"/>
  <c r="AB23" i="12" s="1"/>
  <c r="R23" i="12"/>
  <c r="S26" i="12"/>
  <c r="AC25" i="12"/>
  <c r="S24" i="12"/>
  <c r="R5" i="12"/>
  <c r="AC22" i="12"/>
  <c r="R26" i="12"/>
  <c r="S9" i="12"/>
  <c r="S25" i="12"/>
  <c r="S27" i="12"/>
  <c r="R24" i="12"/>
  <c r="R27" i="12"/>
  <c r="S7" i="12"/>
  <c r="S8" i="12"/>
  <c r="S10" i="12"/>
  <c r="S20" i="12"/>
  <c r="R8" i="12"/>
  <c r="S19" i="12"/>
  <c r="R9" i="12"/>
  <c r="S21" i="12"/>
  <c r="S5" i="12"/>
  <c r="AB5" i="12" s="1"/>
  <c r="R7" i="12"/>
  <c r="R10" i="12"/>
  <c r="S22" i="12"/>
  <c r="R6" i="12"/>
  <c r="S6" i="12"/>
  <c r="AB6" i="12" s="1"/>
  <c r="AC12" i="12"/>
  <c r="AC17" i="12"/>
  <c r="AC15" i="12"/>
  <c r="AC16" i="12"/>
  <c r="R15" i="12"/>
  <c r="R20" i="12"/>
  <c r="R19" i="12"/>
  <c r="AC14" i="12"/>
  <c r="R14" i="12"/>
  <c r="R16" i="12"/>
  <c r="R21" i="12"/>
  <c r="R12" i="12"/>
  <c r="AB15" i="12"/>
  <c r="AB14" i="12"/>
  <c r="AB16" i="12"/>
  <c r="AA27" i="12" l="1"/>
  <c r="X27" i="12"/>
  <c r="AA26" i="12"/>
  <c r="X26" i="12"/>
  <c r="AA25" i="12"/>
  <c r="X25" i="12"/>
  <c r="AA24" i="12"/>
  <c r="X24" i="12"/>
  <c r="AA22" i="12"/>
  <c r="X22" i="12"/>
  <c r="AA21" i="12"/>
  <c r="X21" i="12"/>
  <c r="AA19" i="12"/>
  <c r="X19" i="12"/>
  <c r="AA20" i="12"/>
  <c r="X20" i="12"/>
  <c r="AA17" i="12"/>
  <c r="X17" i="12"/>
  <c r="S17" i="12"/>
  <c r="AA12" i="12"/>
  <c r="X12" i="12"/>
  <c r="AA10" i="12"/>
  <c r="X10" i="12"/>
  <c r="AA9" i="12"/>
  <c r="X9" i="12"/>
  <c r="AA8" i="12"/>
  <c r="X8" i="12"/>
  <c r="AA7" i="12"/>
  <c r="X7" i="12"/>
  <c r="AA8" i="11"/>
  <c r="V8" i="11"/>
  <c r="Y8" i="11"/>
  <c r="Q8" i="11"/>
  <c r="P8" i="11"/>
  <c r="V9" i="11"/>
  <c r="AA9" i="11"/>
  <c r="Y9" i="11"/>
  <c r="Q9" i="11"/>
  <c r="P9" i="11"/>
  <c r="V14" i="11"/>
  <c r="AA14" i="11"/>
  <c r="Y14" i="11"/>
  <c r="Q14" i="11"/>
  <c r="P14" i="11"/>
  <c r="V13" i="11"/>
  <c r="AA13" i="11"/>
  <c r="Y13" i="11"/>
  <c r="Q13" i="11"/>
  <c r="P13" i="11"/>
  <c r="V11" i="11"/>
  <c r="AA11" i="11"/>
  <c r="Y11" i="11"/>
  <c r="Q11" i="11"/>
  <c r="P11" i="11"/>
  <c r="AA28" i="11"/>
  <c r="V28" i="11"/>
  <c r="Y28" i="11"/>
  <c r="Q28" i="11"/>
  <c r="P28" i="11"/>
  <c r="V21" i="11"/>
  <c r="AA21" i="11"/>
  <c r="Y21" i="11"/>
  <c r="Q21" i="11"/>
  <c r="P21" i="11"/>
  <c r="AA31" i="11"/>
  <c r="V31" i="11"/>
  <c r="Y31" i="11"/>
  <c r="Q31" i="11"/>
  <c r="P31" i="11"/>
  <c r="AA32" i="11"/>
  <c r="V32" i="11"/>
  <c r="Y32" i="11"/>
  <c r="Q32" i="11"/>
  <c r="P32" i="11"/>
  <c r="AA20" i="11"/>
  <c r="V20" i="11"/>
  <c r="Y20" i="11"/>
  <c r="Q20" i="11"/>
  <c r="P20" i="11"/>
  <c r="AA26" i="11"/>
  <c r="V26" i="11"/>
  <c r="Y26" i="11"/>
  <c r="Q26" i="11"/>
  <c r="P26" i="11"/>
  <c r="AA33" i="11"/>
  <c r="Y33" i="11"/>
  <c r="V33" i="11"/>
  <c r="Q33" i="11"/>
  <c r="P33" i="11"/>
  <c r="AA30" i="11"/>
  <c r="Y30" i="11"/>
  <c r="V30" i="11"/>
  <c r="Q30" i="11"/>
  <c r="P30" i="11"/>
  <c r="AA29" i="11"/>
  <c r="Y29" i="11"/>
  <c r="V29" i="11"/>
  <c r="Q29" i="11"/>
  <c r="P29" i="11"/>
  <c r="AA27" i="11"/>
  <c r="Y27" i="11"/>
  <c r="V27" i="11"/>
  <c r="Q27" i="11"/>
  <c r="P27" i="11"/>
  <c r="AA25" i="11"/>
  <c r="Y25" i="11"/>
  <c r="V25" i="11"/>
  <c r="Q25" i="11"/>
  <c r="P25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19" i="11"/>
  <c r="Y19" i="11"/>
  <c r="V19" i="11"/>
  <c r="Q19" i="11"/>
  <c r="P19" i="11"/>
  <c r="AA18" i="11"/>
  <c r="Y18" i="11"/>
  <c r="V18" i="11"/>
  <c r="Q18" i="11"/>
  <c r="P18" i="11"/>
  <c r="AA17" i="11"/>
  <c r="Y17" i="11"/>
  <c r="V17" i="11"/>
  <c r="P17" i="11"/>
  <c r="H17" i="11"/>
  <c r="Q17" i="11" s="1"/>
  <c r="AA16" i="11"/>
  <c r="Y16" i="11"/>
  <c r="V16" i="11"/>
  <c r="Q16" i="11"/>
  <c r="P16" i="11"/>
  <c r="AA15" i="11"/>
  <c r="Y15" i="11"/>
  <c r="V15" i="11"/>
  <c r="Q15" i="11"/>
  <c r="P15" i="11"/>
  <c r="AA12" i="11"/>
  <c r="Y12" i="11"/>
  <c r="V12" i="11"/>
  <c r="Q12" i="11"/>
  <c r="P12" i="11"/>
  <c r="AA10" i="11"/>
  <c r="Y10" i="11"/>
  <c r="V10" i="11"/>
  <c r="Q10" i="11"/>
  <c r="P10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AB9" i="12" l="1"/>
  <c r="AB20" i="12"/>
  <c r="AB8" i="12"/>
  <c r="AB22" i="12"/>
  <c r="AB27" i="12"/>
  <c r="AB21" i="12"/>
  <c r="AB24" i="12"/>
  <c r="AB26" i="12"/>
  <c r="AB19" i="12"/>
  <c r="AB7" i="12"/>
  <c r="AB25" i="12"/>
  <c r="AB10" i="12"/>
  <c r="AB12" i="12"/>
  <c r="AB17" i="12"/>
  <c r="Z8" i="11"/>
  <c r="Z9" i="11"/>
  <c r="Z14" i="11"/>
  <c r="Z13" i="11"/>
  <c r="Z11" i="11"/>
  <c r="Z28" i="11"/>
  <c r="Z21" i="11"/>
  <c r="Z31" i="11"/>
  <c r="Z32" i="11"/>
  <c r="Z20" i="11"/>
  <c r="Z26" i="11"/>
  <c r="Z33" i="11"/>
  <c r="Z18" i="11"/>
  <c r="Z23" i="11"/>
  <c r="Z7" i="11"/>
  <c r="Z6" i="11"/>
  <c r="Z5" i="11"/>
  <c r="Z24" i="11"/>
  <c r="Z29" i="11"/>
  <c r="Z16" i="11"/>
  <c r="Z10" i="11"/>
  <c r="Z12" i="11"/>
  <c r="Z27" i="11"/>
  <c r="Z19" i="11"/>
  <c r="Z22" i="11"/>
  <c r="Z25" i="11"/>
  <c r="Z30" i="11"/>
  <c r="Z15" i="11"/>
  <c r="Z17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148B3-D632-0943-9B5E-4E73E1B49263}" name="cost_summary" type="6" refreshedVersion="8" background="1" saveData="1">
    <textPr codePage="10000" sourceFile="/Users/pietro/code/Glaukopis/SFT/test/responses/cost_summary.tsv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A78E00F-3DA1-0E44-86F9-F9C71F83A9A1}" name="Untitled" type="6" refreshedVersion="8" background="1" saveData="1">
    <textPr codePage="10000" sourceFile="/Users/pietro/Library/CloudStorage/OneDrive-athenasoftwaregroup.com/Athena/R&amp;D/Glaukopis/results/Untitled.txt" tab="0" delimiter="|">
      <textFields count="20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<sst xmlns="http://schemas.openxmlformats.org/spreadsheetml/2006/main" count="1689" uniqueCount="605">
  <si>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</si>
  <si>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</si>
  <si>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</si>
  <si>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</si>
  <si>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</si>
  <si>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</si>
  <si>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</si>
  <si>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</si>
  <si>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</si>
  <si>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</si>
  <si>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</si>
  <si>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</si>
  <si>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</si>
  <si>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</si>
  <si>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</si>
  <si>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</si>
  <si>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</si>
  <si>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</si>
  <si>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</si>
  <si>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</si>
  <si>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</si>
  <si>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</si>
  <si>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</si>
  <si>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</si>
  <si>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</si>
  <si>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</si>
  <si>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</si>
  <si>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</si>
  <si>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</si>
  <si>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</si>
  <si>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</si>
  <si>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</si>
  <si>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</si>
  <si>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</si>
  <si>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</si>
  <si>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</si>
  <si>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</si>
  <si>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</si>
  <si>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</si>
  <si>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</si>
  <si>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</si>
  <si>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</si>
  <si>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</si>
  <si>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</si>
  <si>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</si>
  <si>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</si>
  <si>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</si>
  <si>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</si>
  <si>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</si>
  <si>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</si>
  <si>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</si>
  <si>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</si>
  <si>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</si>
  <si>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</si>
  <si>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</si>
  <si>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</si>
  <si>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</si>
  <si>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</si>
  <si>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</si>
  <si>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</si>
  <si>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</si>
  <si>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</si>
  <si>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</si>
  <si>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</si>
  <si>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</si>
  <si>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</si>
  <si>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</si>
  <si>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</si>
  <si>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</si>
  <si>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</si>
  <si>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</si>
  <si>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</si>
  <si>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</si>
  <si>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</si>
  <si>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</si>
  <si>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</si>
  <si>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</si>
  <si>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</si>
  <si>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</si>
  <si>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</si>
  <si>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</si>
  <si>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</si>
  <si>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</si>
  <si>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</si>
  <si>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</si>
  <si>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</si>
  <si>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</si>
  <si>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</si>
  <si>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</si>
  <si>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</si>
  <si>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</si>
  <si>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</si>
  <si>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</si>
  <si>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</si>
  <si>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</si>
  <si>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</si>
  <si>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</si>
  <si>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</si>
  <si>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</si>
  <si>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</si>
  <si>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</si>
  <si>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</si>
  <si>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</si>
  <si>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</si>
  <si>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</si>
  <si>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</si>
  <si>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</si>
  <si>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</si>
  <si>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</si>
  <si>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</si>
  <si>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</si>
  <si>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</si>
  <si>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</si>
  <si>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</si>
  <si>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</si>
  <si>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</si>
  <si>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</si>
  <si>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</si>
  <si>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</si>
  <si>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</si>
  <si>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</si>
  <si>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</si>
  <si>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</si>
  <si>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</si>
  <si>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</si>
  <si>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</si>
  <si>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</si>
  <si>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</si>
  <si>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</si>
  <si>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</si>
  <si>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</si>
  <si>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</si>
  <si>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</si>
  <si>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</si>
  <si>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</si>
  <si>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</si>
  <si>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</si>
  <si>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</si>
  <si>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</si>
  <si>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</si>
  <si>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</si>
  <si>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</si>
  <si>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</si>
  <si>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</si>
  <si>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</si>
  <si>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</si>
  <si>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</si>
  <si>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</si>
  <si>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</si>
  <si>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</si>
  <si>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</si>
  <si>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</si>
  <si>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</si>
  <si>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</si>
  <si>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</si>
  <si>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</si>
  <si>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</si>
  <si>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</si>
  <si>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</si>
  <si>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</si>
  <si>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</si>
  <si>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</si>
  <si>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</si>
  <si>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</si>
  <si>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</si>
  <si>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</si>
  <si>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</si>
  <si>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</si>
  <si>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</si>
  <si>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</si>
  <si>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</si>
  <si>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</si>
  <si>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</si>
  <si>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</si>
  <si>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</si>
  <si>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</si>
  <si>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</si>
  <si>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</si>
  <si>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</si>
  <si>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</si>
  <si>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</si>
  <si>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</si>
  <si>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</si>
  <si>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</si>
  <si>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</si>
  <si>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</si>
  <si>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</si>
  <si>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</si>
  <si>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</si>
  <si>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</si>
  <si>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</si>
  <si>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</si>
  <si>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</si>
  <si>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</si>
  <si>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</si>
  <si>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</si>
  <si>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</si>
  <si>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</si>
  <si>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</si>
  <si>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</si>
  <si>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</si>
  <si>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</si>
  <si>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</si>
  <si>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</si>
  <si>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</si>
  <si>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</si>
  <si>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</si>
  <si>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</si>
  <si>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</si>
  <si>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</si>
  <si>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</si>
  <si>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</si>
  <si>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</si>
  <si>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</si>
  <si>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</si>
  <si>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</si>
  <si>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</si>
  <si>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</si>
  <si>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</si>
  <si>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</si>
  <si>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</si>
  <si>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</si>
  <si>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</si>
  <si>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</si>
  <si>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</si>
  <si>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</si>
  <si>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</si>
  <si>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</si>
  <si>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</si>
  <si>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</si>
  <si>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</si>
  <si>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</si>
  <si>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</si>
  <si>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</si>
  <si>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</si>
  <si>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</si>
  <si>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</si>
  <si>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</si>
  <si>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</si>
  <si>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</si>
  <si>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</si>
  <si>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</si>
  <si>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</si>
  <si>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</si>
  <si>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</si>
  <si>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</si>
  <si>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</si>
  <si>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</si>
  <si>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</si>
  <si>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</si>
  <si>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</si>
  <si>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</si>
  <si>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</si>
  <si>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</si>
  <si>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</si>
  <si>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</si>
  <si>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</si>
  <si>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</si>
  <si>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</si>
  <si>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</si>
  <si>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</si>
  <si>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</si>
  <si>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</si>
  <si>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</si>
  <si>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</si>
  <si>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</si>
  <si>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</si>
  <si>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</si>
  <si>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</si>
  <si>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</si>
  <si>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</si>
  <si>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</si>
  <si>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</si>
  <si>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</si>
  <si>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</si>
  <si>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</si>
  <si>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</si>
  <si>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</si>
  <si>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</si>
  <si>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</si>
  <si>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</si>
  <si>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</si>
  <si>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</si>
  <si>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</si>
  <si>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</si>
  <si>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</si>
  <si>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</si>
  <si>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</si>
  <si>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</si>
  <si>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</si>
  <si>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</si>
  <si>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</si>
  <si>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</si>
  <si>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</si>
  <si>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</si>
  <si>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</si>
  <si>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</si>
  <si>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</si>
  <si>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</si>
  <si>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</si>
  <si>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</si>
  <si>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</si>
  <si>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</si>
  <si>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</si>
  <si>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</si>
  <si>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</si>
  <si>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</si>
  <si>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</si>
  <si>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</si>
  <si>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</si>
  <si>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</si>
  <si>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</si>
  <si>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</si>
  <si>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</si>
  <si>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</si>
  <si>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</si>
  <si>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</si>
  <si>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</si>
  <si>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</si>
  <si>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</si>
  <si>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</si>
  <si>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</si>
  <si>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</si>
  <si>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</si>
  <si>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</si>
  <si>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</si>
  <si>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</si>
  <si>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</si>
  <si>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</si>
  <si>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</si>
  <si>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</si>
  <si>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</si>
  <si>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</si>
  <si>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</si>
  <si>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</si>
  <si>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</si>
  <si>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</si>
  <si>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</si>
  <si>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</si>
  <si>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</si>
  <si>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</si>
  <si>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</si>
  <si>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</si>
  <si>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</si>
  <si>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</si>
  <si>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</si>
  <si>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</si>
  <si>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</si>
  <si>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</si>
  <si>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</si>
  <si>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</si>
  <si>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</si>
  <si>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</si>
  <si>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</si>
  <si>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</si>
  <si>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</si>
  <si>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</si>
  <si>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</si>
  <si>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</si>
  <si>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</si>
  <si>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</si>
  <si>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</si>
  <si>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</si>
  <si>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</si>
  <si>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</si>
  <si>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</si>
  <si>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</si>
  <si>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</si>
  <si>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</si>
  <si>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</si>
  <si>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</si>
  <si>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</si>
  <si>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</si>
  <si>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</si>
  <si>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</si>
  <si>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</si>
  <si>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</si>
  <si>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</si>
  <si>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</si>
  <si>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</si>
  <si>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</si>
  <si>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</si>
  <si>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</si>
  <si>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</si>
  <si>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</si>
  <si>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</si>
  <si>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</si>
  <si>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</si>
  <si>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</si>
  <si>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</si>
  <si>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</si>
  <si>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</si>
  <si>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</si>
  <si>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</si>
  <si>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</si>
  <si>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</si>
  <si>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</si>
  <si>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</si>
  <si>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</si>
  <si>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</si>
  <si>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</si>
  <si>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</si>
  <si>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</si>
  <si>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</si>
  <si>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</si>
  <si>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</si>
  <si>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</si>
  <si>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</si>
  <si>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</si>
  <si>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</si>
  <si>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</si>
  <si>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</si>
  <si>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</si>
  <si>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</si>
  <si>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</si>
  <si>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</si>
  <si>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</si>
  <si>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</si>
  <si>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</si>
  <si>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</si>
  <si>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</si>
  <si>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</si>
  <si>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</si>
  <si>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</si>
  <si>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</si>
  <si>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</si>
  <si>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</si>
  <si>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</si>
  <si>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</si>
  <si>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</si>
  <si>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</si>
  <si>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</si>
  <si>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</si>
  <si>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</si>
  <si>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</si>
  <si>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</si>
  <si>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</si>
  <si>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</si>
  <si>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</si>
  <si>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</si>
  <si>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</si>
  <si>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</si>
  <si>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</si>
  <si>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</si>
  <si>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</si>
  <si>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</si>
  <si>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</si>
  <si>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</si>
  <si>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</si>
  <si>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</si>
  <si>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</si>
  <si>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</si>
  <si>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</si>
  <si>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</si>
  <si>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</si>
  <si>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</si>
  <si>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</si>
  <si>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</si>
  <si>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</si>
  <si>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</si>
  <si>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</si>
  <si>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</si>
  <si>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</si>
  <si>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</si>
  <si>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</si>
  <si>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</si>
  <si>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</si>
  <si>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</si>
  <si>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</si>
  <si>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</si>
  <si>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</si>
  <si>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</si>
  <si>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</si>
  <si>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</si>
  <si>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</si>
  <si>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</si>
  <si>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</si>
  <si>
    <t>asg-ai/athena-cti-sft-qwen25-32b-v21-recal-32b</t>
  </si>
  <si>
    <t>Qwen/Qwen3-30B-A3B-Thinking-2507</t>
  </si>
  <si>
    <t>asg-ai/athena-cti-sft-qwen3-30b-a3b-thinking-2507-v21-recal-32b</t>
  </si>
  <si>
    <t>asg-ai/athena-cti-sft-qwen3-30b-a3b-thinking-2507-v21-core</t>
  </si>
  <si>
    <t>asg-ai/athena-cti-sft-qwen3-30b-a3b-thinking-2507-v21-taa</t>
  </si>
  <si>
    <t>gpt-5.2 (effort=high)</t>
  </si>
  <si>
    <t>Avg (combined)</t>
  </si>
  <si>
    <t>asg-ai/athena-cti-sft-qwen3-30b-a3b-thinking-2507-v21-recalibrate</t>
  </si>
  <si>
    <t>MMLU-Pro (accuracy)</t>
  </si>
  <si>
    <t xml:space="preserve">asg-ai/athena-cti-sft-qwen3-30b-a3b-thinking-2507-v21-cse </t>
  </si>
  <si>
    <t>gpt-5.2(reasoning=default[medium])</t>
  </si>
  <si>
    <t>Avg CTI Test Score</t>
  </si>
  <si>
    <t>Avg CTI Benchmark Score</t>
  </si>
  <si>
    <t xml:space="preserve">Avg Total Test Score (w MMLU Pro) </t>
  </si>
  <si>
    <t>law</t>
  </si>
  <si>
    <t>math</t>
  </si>
  <si>
    <t>other</t>
  </si>
  <si>
    <t>Count</t>
  </si>
  <si>
    <t xml:space="preserve"> model </t>
  </si>
  <si>
    <t xml:space="preserve"> biolog </t>
  </si>
  <si>
    <t xml:space="preserve"> busine </t>
  </si>
  <si>
    <t xml:space="preserve"> chemis </t>
  </si>
  <si>
    <t xml:space="preserve"> comput </t>
  </si>
  <si>
    <t xml:space="preserve"> econom </t>
  </si>
  <si>
    <t xml:space="preserve"> engine </t>
  </si>
  <si>
    <t xml:space="preserve"> health </t>
  </si>
  <si>
    <t xml:space="preserve"> histor </t>
  </si>
  <si>
    <t xml:space="preserve"> law </t>
  </si>
  <si>
    <t xml:space="preserve"> math </t>
  </si>
  <si>
    <t xml:space="preserve"> other </t>
  </si>
  <si>
    <t xml:space="preserve"> philos </t>
  </si>
  <si>
    <t xml:space="preserve"> physic </t>
  </si>
  <si>
    <t xml:space="preserve"> psycho </t>
  </si>
  <si>
    <t xml:space="preserve"> N </t>
  </si>
  <si>
    <t xml:space="preserve"> overall </t>
  </si>
  <si>
    <t xml:space="preserve"> parse% </t>
  </si>
  <si>
    <t>---</t>
  </si>
  <si>
    <t xml:space="preserve"> Qwen_Qwen2.5-14B-Instruct </t>
  </si>
  <si>
    <t xml:space="preserve"> Qwen_Qwen2.5-32B-Instruct </t>
  </si>
  <si>
    <t xml:space="preserve"> asg-ai_athena-cti-sft-qwen3-30b-a3b-thinking-2507-v21-cse </t>
  </si>
  <si>
    <t xml:space="preserve"> athena-cti-sft-foundation-8b-v21-core-vllm </t>
  </si>
  <si>
    <t xml:space="preserve"> athena-cti-sft-foundation-8b-v21-cse-vllm </t>
  </si>
  <si>
    <t xml:space="preserve"> athena-cti-sft-foundation-8b-v21-taa-vllm </t>
  </si>
  <si>
    <t xml:space="preserve"> athena-cti-sft-llama31-8b-v21-core-vllm </t>
  </si>
  <si>
    <t xml:space="preserve"> athena-cti-sft-llama31-8b-v21-cse-vllm </t>
  </si>
  <si>
    <t xml:space="preserve"> athena-cti-sft-llama31-8b-v21-recalibrate-vllm </t>
  </si>
  <si>
    <t xml:space="preserve"> athena-cti-sft-llama31-8b-v21-taa-vllm </t>
  </si>
  <si>
    <t xml:space="preserve"> athena-cti-sft-qwen25-14b-v21-core-vllm </t>
  </si>
  <si>
    <t xml:space="preserve"> athena-cti-sft-qwen25-14b-v21-recalibrate-vllm </t>
  </si>
  <si>
    <t xml:space="preserve"> athena-cti-sft-qwen25-14b-v21-taa-vllm </t>
  </si>
  <si>
    <t xml:space="preserve"> athena-cti-sft-qwen25-32b-v21-core-vllm </t>
  </si>
  <si>
    <t xml:space="preserve"> athena-cti-sft-qwen25-32b-v21-cse-vllm </t>
  </si>
  <si>
    <t xml:space="preserve"> athena-cti-sft-qwen25-32b-v21-recal-32b-vllm </t>
  </si>
  <si>
    <t xml:space="preserve"> athena-cti-sft-qwen25-32b-v21-recalibrate-vllm </t>
  </si>
  <si>
    <t xml:space="preserve"> athena-cti-sft-qwen25-32b-v21-taa-vllm </t>
  </si>
  <si>
    <t xml:space="preserve"> athena-cti-sft-qwen3-30b-a3b-thinking-2507-v21-core-no-think-vllm </t>
  </si>
  <si>
    <t xml:space="preserve"> athena-cti-sft-qwen3-30b-a3b-thinking-2507-v21-cse-vllm </t>
  </si>
  <si>
    <t xml:space="preserve"> athena-cti-sft-qwen3-30b-a3b-thinking-2507-v21-recal-32b-no-think-vllm </t>
  </si>
  <si>
    <t xml:space="preserve"> athena-cti-sft-qwen3-30b-a3b-thinking-2507-v21-recalibrate-no-think-vllm </t>
  </si>
  <si>
    <t xml:space="preserve"> athena-cti-sft-qwen3-30b-a3b-thinking-2507-v21-taa-no-think-vllm </t>
  </si>
  <si>
    <t xml:space="preserve"> deepseek-v3.1-terminus-hf </t>
  </si>
  <si>
    <t xml:space="preserve">   ‚Äî   </t>
  </si>
  <si>
    <t xml:space="preserve"> deepseek-v3.2-exp-hf </t>
  </si>
  <si>
    <t xml:space="preserve"> deepseek-v4-pro-hf </t>
  </si>
  <si>
    <t xml:space="preserve"> foundation-8b-instruct-vllm </t>
  </si>
  <si>
    <t xml:space="preserve"> gemini-2.5-flash </t>
  </si>
  <si>
    <t xml:space="preserve"> gemini-3-flash </t>
  </si>
  <si>
    <t xml:space="preserve"> gpt5.2 </t>
  </si>
  <si>
    <t xml:space="preserve"> gpt5.2-high </t>
  </si>
  <si>
    <t xml:space="preserve"> gpt5.5 </t>
  </si>
  <si>
    <t xml:space="preserve"> llama-3-8b-vllm </t>
  </si>
  <si>
    <t xml:space="preserve"> qwen3-30b-a3b-thinking-2507-vllm </t>
  </si>
  <si>
    <t>Overall Score (micro avg)</t>
  </si>
  <si>
    <t>model</t>
  </si>
  <si>
    <t>athena_cost_usd</t>
  </si>
  <si>
    <t>cybersoceval_cost_usd</t>
  </si>
  <si>
    <t>cybermetric_cost_usd</t>
  </si>
  <si>
    <t>mmlu_pro_cost_usd</t>
  </si>
  <si>
    <t>total_cost_usd</t>
  </si>
  <si>
    <t>total_input_tok</t>
  </si>
  <si>
    <t>total_output_tok</t>
  </si>
  <si>
    <t>usd_per_1k_tok</t>
  </si>
  <si>
    <t>deepseek-v3.1-terminus-hf</t>
  </si>
  <si>
    <t>deepseek-v3.2-exp-hf</t>
  </si>
  <si>
    <t>deepseek-v4-pro-hf</t>
  </si>
  <si>
    <t>gemini-3-flash</t>
  </si>
  <si>
    <t>gpt5.2</t>
  </si>
  <si>
    <t>gpt5.5</t>
  </si>
  <si>
    <t>wallclock_hours</t>
  </si>
  <si>
    <t>gpu_hours_billed</t>
  </si>
  <si>
    <t>billing_basis</t>
  </si>
  <si>
    <t>API tokens</t>
  </si>
  <si>
    <t>2xH100 @ $2.50/hr</t>
  </si>
  <si>
    <t>asg-ai_athena-cti-sft-qwen3-30b-a3b-thinking-2507-v21-cse</t>
  </si>
  <si>
    <t>athena-cti-sft-foundation-8b-v21-core-vllm</t>
  </si>
  <si>
    <t>athena-cti-sft-foundation-8b-v21-cse-vllm</t>
  </si>
  <si>
    <t>athena-cti-sft-foundation-8b-v21-recalibrate-vllm</t>
  </si>
  <si>
    <t>athena-cti-sft-foundation-8b-v21-taa-vllm</t>
  </si>
  <si>
    <t>athena-cti-sft-llama31-8b-v21-core-vllm</t>
  </si>
  <si>
    <t>athena-cti-sft-llama31-8b-v21-cse-vllm</t>
  </si>
  <si>
    <t>athena-cti-sft-llama31-8b-v21-recalibrate-vllm</t>
  </si>
  <si>
    <t>athena-cti-sft-llama31-8b-v21-taa-vllm</t>
  </si>
  <si>
    <t>athena-cti-sft-qwen25-14b-v21-core-vllm</t>
  </si>
  <si>
    <t>athena-cti-sft-qwen25-14b-v21-recalibrate-vllm</t>
  </si>
  <si>
    <t>athena-cti-sft-qwen25-14b-v21-taa-vllm</t>
  </si>
  <si>
    <t>athena-cti-sft-qwen25-32b-v21-core-vllm</t>
  </si>
  <si>
    <t>athena-cti-sft-qwen25-32b-v21-cse-vllm</t>
  </si>
  <si>
    <t>athena-cti-sft-qwen25-32b-v21-recal-32b-vllm</t>
  </si>
  <si>
    <t>athena-cti-sft-qwen25-32b-v21-recalibrate-vllm</t>
  </si>
  <si>
    <t>athena-cti-sft-qwen25-32b-v21-taa-vllm</t>
  </si>
  <si>
    <t>athena-cti-sft-qwen3-30b-a3b-thinking-2507-v21-core-no-think-vllm</t>
  </si>
  <si>
    <t>athena-cti-sft-qwen3-30b-a3b-thinking-2507-v21-cse-vllm</t>
  </si>
  <si>
    <t>athena-cti-sft-qwen3-30b-a3b-thinking-2507-v21-recal-32b-no-think-vllm</t>
  </si>
  <si>
    <t>athena-cti-sft-qwen3-30b-a3b-thinking-2507-v21-recalibrate-no-think-vllm</t>
  </si>
  <si>
    <t>athena-cti-sft-qwen3-30b-a3b-thinking-2507-v21-taa-no-think-vllm</t>
  </si>
  <si>
    <t>Summary Score (acc)</t>
  </si>
  <si>
    <t>econ</t>
  </si>
  <si>
    <t>comp sci</t>
  </si>
  <si>
    <t>chem</t>
  </si>
  <si>
    <t>bio</t>
  </si>
  <si>
    <t>bus</t>
  </si>
  <si>
    <t>eng</t>
  </si>
  <si>
    <t>hlth</t>
  </si>
  <si>
    <t>hist</t>
  </si>
  <si>
    <t>phil</t>
  </si>
  <si>
    <t>phys</t>
  </si>
  <si>
    <t>psych</t>
  </si>
  <si>
    <t>Result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</si>
</sst>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d/mm/yyyy"/>
    <numFmt numFmtId="166" formatCode="dd\-mm\-yyyy"/>
    <numFmt numFmtId="167" formatCode="d/m/yyyy"/>
    <numFmt numFmtId="172" formatCode="&quot;$&quot;#,##0.00"/>
    <numFmt numFmtId="173" formatCode="&quot;$&quot;#,##0.0000"/>
  </numFmts>
  <fonts count="4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  <font>
      <b/>
      <sz val="8"/>
      <color rgb="FF000000"/>
      <name val="Aptos"/>
    </font>
    <font>
      <b/>
      <sz val="10"/>
      <color rgb="FF000000"/>
      <name val="Arial"/>
      <family val="2"/>
      <scheme val="minor"/>
    </font>
    <font>
      <b/>
      <sz val="8"/>
      <color theme="1"/>
      <name val="Aptos Light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9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/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tted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auto="1"/>
      </right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auto="1"/>
      </right>
      <top/>
      <bottom style="dotted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/>
      <diagonal/>
    </border>
    <border>
      <left style="dotted">
        <color rgb="FF000000"/>
      </left>
      <right style="medium">
        <color auto="1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indexed="64"/>
      </top>
      <bottom style="dotted">
        <color rgb="FF000000"/>
      </bottom>
      <diagonal/>
    </border>
  </borders>
  <cellStyleXfs count="1">
    <xf numFmtId="0" fontId="0" fillId="0" borderId="0"/>
  </cellStyleXfs>
  <cellXfs count="824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 vertical="center"/>
    </xf>
    <xf numFmtId="164" fontId="37" fillId="0" borderId="96" xfId="0" applyNumberFormat="1" applyFont="1" applyBorder="1" applyAlignment="1">
      <alignment horizontal="center" vertical="center"/>
    </xf>
    <xf numFmtId="164" fontId="37" fillId="0" borderId="95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164" fontId="37" fillId="0" borderId="3" xfId="0" applyNumberFormat="1" applyFont="1" applyBorder="1" applyAlignment="1">
      <alignment horizontal="center" vertical="center"/>
    </xf>
    <xf numFmtId="164" fontId="37" fillId="0" borderId="187" xfId="0" applyNumberFormat="1" applyFont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Border="1" applyAlignment="1">
      <alignment horizontal="center"/>
    </xf>
    <xf numFmtId="164" fontId="37" fillId="0" borderId="130" xfId="0" applyNumberFormat="1" applyFont="1" applyBorder="1" applyAlignment="1">
      <alignment horizontal="center" vertical="center"/>
    </xf>
    <xf numFmtId="164" fontId="37" fillId="0" borderId="99" xfId="0" applyNumberFormat="1" applyFont="1" applyBorder="1" applyAlignment="1">
      <alignment horizontal="center" vertical="center"/>
    </xf>
    <xf numFmtId="164" fontId="37" fillId="0" borderId="157" xfId="0" applyNumberFormat="1" applyFont="1" applyBorder="1" applyAlignment="1">
      <alignment horizontal="center" vertical="center"/>
    </xf>
    <xf numFmtId="164" fontId="37" fillId="0" borderId="159" xfId="0" applyNumberFormat="1" applyFont="1" applyBorder="1" applyAlignment="1">
      <alignment horizontal="center" vertical="center"/>
    </xf>
    <xf numFmtId="164" fontId="37" fillId="0" borderId="131" xfId="0" applyNumberFormat="1" applyFont="1" applyBorder="1" applyAlignment="1">
      <alignment horizontal="center" vertical="center"/>
    </xf>
    <xf numFmtId="164" fontId="37" fillId="0" borderId="160" xfId="0" applyNumberFormat="1" applyFont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4" fontId="15" fillId="0" borderId="132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5" fillId="0" borderId="100" xfId="0" applyNumberFormat="1" applyFont="1" applyBorder="1" applyAlignment="1">
      <alignment horizontal="center"/>
    </xf>
    <xf numFmtId="164" fontId="15" fillId="0" borderId="201" xfId="0" applyNumberFormat="1" applyFont="1" applyBorder="1" applyAlignment="1">
      <alignment horizontal="center"/>
    </xf>
    <xf numFmtId="164" fontId="15" fillId="0" borderId="202" xfId="0" applyNumberFormat="1" applyFont="1" applyBorder="1" applyAlignment="1">
      <alignment horizontal="center"/>
    </xf>
    <xf numFmtId="164" fontId="37" fillId="0" borderId="158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/>
    </xf>
    <xf numFmtId="164" fontId="15" fillId="0" borderId="187" xfId="0" applyNumberFormat="1" applyFont="1" applyBorder="1" applyAlignment="1">
      <alignment horizontal="center"/>
    </xf>
    <xf numFmtId="164" fontId="15" fillId="0" borderId="77" xfId="0" applyNumberFormat="1" applyFont="1" applyBorder="1" applyAlignment="1">
      <alignment horizontal="center"/>
    </xf>
    <xf numFmtId="164" fontId="16" fillId="0" borderId="195" xfId="0" applyNumberFormat="1" applyFont="1" applyBorder="1" applyAlignment="1">
      <alignment horizontal="center"/>
    </xf>
    <xf numFmtId="164" fontId="15" fillId="0" borderId="204" xfId="0" applyNumberFormat="1" applyFont="1" applyBorder="1" applyAlignment="1">
      <alignment horizontal="center"/>
    </xf>
    <xf numFmtId="164" fontId="15" fillId="0" borderId="205" xfId="0" applyNumberFormat="1" applyFont="1" applyBorder="1" applyAlignment="1">
      <alignment horizontal="center"/>
    </xf>
    <xf numFmtId="164" fontId="15" fillId="0" borderId="206" xfId="0" applyNumberFormat="1" applyFont="1" applyBorder="1" applyAlignment="1">
      <alignment horizontal="center"/>
    </xf>
    <xf numFmtId="164" fontId="15" fillId="0" borderId="207" xfId="0" applyNumberFormat="1" applyFont="1" applyBorder="1" applyAlignment="1">
      <alignment horizontal="center"/>
    </xf>
    <xf numFmtId="164" fontId="15" fillId="0" borderId="208" xfId="0" applyNumberFormat="1" applyFont="1" applyBorder="1" applyAlignment="1">
      <alignment horizontal="center"/>
    </xf>
    <xf numFmtId="164" fontId="15" fillId="0" borderId="111" xfId="0" applyNumberFormat="1" applyFont="1" applyBorder="1" applyAlignment="1">
      <alignment horizontal="center"/>
    </xf>
    <xf numFmtId="164" fontId="15" fillId="0" borderId="209" xfId="0" applyNumberFormat="1" applyFont="1" applyBorder="1" applyAlignment="1">
      <alignment horizontal="center"/>
    </xf>
    <xf numFmtId="164" fontId="16" fillId="0" borderId="168" xfId="0" applyNumberFormat="1" applyFont="1" applyBorder="1" applyAlignment="1">
      <alignment horizontal="center"/>
    </xf>
    <xf numFmtId="164" fontId="16" fillId="0" borderId="82" xfId="0" applyNumberFormat="1" applyFont="1" applyBorder="1" applyAlignment="1">
      <alignment horizontal="center"/>
    </xf>
    <xf numFmtId="164" fontId="16" fillId="0" borderId="172" xfId="0" applyNumberFormat="1" applyFont="1" applyBorder="1" applyAlignment="1">
      <alignment horizontal="center"/>
    </xf>
    <xf numFmtId="164" fontId="15" fillId="0" borderId="76" xfId="0" applyNumberFormat="1" applyFont="1" applyBorder="1" applyAlignment="1">
      <alignment horizontal="center"/>
    </xf>
    <xf numFmtId="164" fontId="15" fillId="0" borderId="210" xfId="0" applyNumberFormat="1" applyFont="1" applyBorder="1" applyAlignment="1">
      <alignment horizontal="center"/>
    </xf>
    <xf numFmtId="164" fontId="37" fillId="0" borderId="131" xfId="0" applyNumberFormat="1" applyFont="1" applyBorder="1" applyAlignment="1">
      <alignment horizontal="center"/>
    </xf>
    <xf numFmtId="164" fontId="15" fillId="0" borderId="70" xfId="0" applyNumberFormat="1" applyFont="1" applyBorder="1" applyAlignment="1">
      <alignment horizontal="center"/>
    </xf>
    <xf numFmtId="0" fontId="31" fillId="0" borderId="184" xfId="0" applyFont="1" applyBorder="1" applyAlignment="1">
      <alignment horizontal="center" vertical="center"/>
    </xf>
    <xf numFmtId="0" fontId="31" fillId="0" borderId="158" xfId="0" applyFont="1" applyBorder="1" applyAlignment="1">
      <alignment horizontal="center" vertical="center"/>
    </xf>
    <xf numFmtId="164" fontId="16" fillId="0" borderId="211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/>
    </xf>
    <xf numFmtId="164" fontId="15" fillId="0" borderId="200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/>
    </xf>
    <xf numFmtId="164" fontId="16" fillId="0" borderId="96" xfId="0" applyNumberFormat="1" applyFont="1" applyBorder="1" applyAlignment="1">
      <alignment horizontal="center"/>
    </xf>
    <xf numFmtId="164" fontId="15" fillId="0" borderId="212" xfId="0" applyNumberFormat="1" applyFont="1" applyBorder="1" applyAlignment="1">
      <alignment horizontal="center"/>
    </xf>
    <xf numFmtId="164" fontId="15" fillId="0" borderId="213" xfId="0" applyNumberFormat="1" applyFont="1" applyBorder="1" applyAlignment="1">
      <alignment horizontal="center"/>
    </xf>
    <xf numFmtId="164" fontId="15" fillId="0" borderId="81" xfId="0" applyNumberFormat="1" applyFont="1" applyBorder="1" applyAlignment="1">
      <alignment horizontal="center"/>
    </xf>
    <xf numFmtId="164" fontId="15" fillId="0" borderId="214" xfId="0" applyNumberFormat="1" applyFont="1" applyBorder="1" applyAlignment="1">
      <alignment horizontal="center"/>
    </xf>
    <xf numFmtId="164" fontId="15" fillId="0" borderId="215" xfId="0" applyNumberFormat="1" applyFont="1" applyBorder="1" applyAlignment="1">
      <alignment horizontal="center"/>
    </xf>
    <xf numFmtId="164" fontId="15" fillId="0" borderId="21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164" fontId="23" fillId="0" borderId="0" xfId="0" applyNumberFormat="1" applyFont="1" applyBorder="1" applyAlignment="1">
      <alignment horizontal="center"/>
    </xf>
    <xf numFmtId="164" fontId="23" fillId="0" borderId="0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/>
    </xf>
    <xf numFmtId="164" fontId="15" fillId="0" borderId="234" xfId="0" applyNumberFormat="1" applyFont="1" applyBorder="1" applyAlignment="1">
      <alignment horizontal="center"/>
    </xf>
    <xf numFmtId="164" fontId="0" fillId="0" borderId="8" xfId="0" applyNumberFormat="1" applyBorder="1"/>
    <xf numFmtId="164" fontId="15" fillId="0" borderId="94" xfId="0" applyNumberFormat="1" applyFont="1" applyBorder="1" applyAlignment="1">
      <alignment horizontal="center" vertical="center"/>
    </xf>
    <xf numFmtId="164" fontId="0" fillId="0" borderId="0" xfId="0" applyNumberFormat="1" applyBorder="1"/>
    <xf numFmtId="0" fontId="0" fillId="0" borderId="0" xfId="0" applyBorder="1"/>
    <xf numFmtId="164" fontId="15" fillId="0" borderId="246" xfId="0" applyNumberFormat="1" applyFont="1" applyBorder="1" applyAlignment="1">
      <alignment horizontal="center"/>
    </xf>
    <xf numFmtId="164" fontId="15" fillId="0" borderId="238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/>
    </xf>
    <xf numFmtId="164" fontId="15" fillId="0" borderId="248" xfId="0" applyNumberFormat="1" applyFont="1" applyBorder="1" applyAlignment="1">
      <alignment horizontal="center"/>
    </xf>
    <xf numFmtId="164" fontId="15" fillId="0" borderId="54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 vertical="center"/>
    </xf>
    <xf numFmtId="0" fontId="0" fillId="0" borderId="8" xfId="0" applyBorder="1"/>
    <xf numFmtId="164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 vertical="center"/>
    </xf>
    <xf numFmtId="164" fontId="15" fillId="0" borderId="268" xfId="0" applyNumberFormat="1" applyFont="1" applyBorder="1" applyAlignment="1">
      <alignment horizontal="center"/>
    </xf>
    <xf numFmtId="164" fontId="15" fillId="0" borderId="52" xfId="0" applyNumberFormat="1" applyFont="1" applyBorder="1" applyAlignment="1">
      <alignment horizontal="center" vertical="center"/>
    </xf>
    <xf numFmtId="164" fontId="15" fillId="0" borderId="269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 vertical="center"/>
    </xf>
    <xf numFmtId="164" fontId="37" fillId="0" borderId="198" xfId="0" applyNumberFormat="1" applyFont="1" applyBorder="1" applyAlignment="1">
      <alignment horizontal="center"/>
    </xf>
    <xf numFmtId="164" fontId="37" fillId="0" borderId="149" xfId="0" applyNumberFormat="1" applyFont="1" applyBorder="1" applyAlignment="1">
      <alignment horizontal="center" vertical="center"/>
    </xf>
    <xf numFmtId="164" fontId="37" fillId="0" borderId="146" xfId="0" applyNumberFormat="1" applyFont="1" applyBorder="1" applyAlignment="1">
      <alignment horizontal="center" vertical="center"/>
    </xf>
    <xf numFmtId="164" fontId="37" fillId="0" borderId="150" xfId="0" applyNumberFormat="1" applyFont="1" applyBorder="1" applyAlignment="1">
      <alignment horizontal="center" vertical="center"/>
    </xf>
    <xf numFmtId="164" fontId="37" fillId="0" borderId="151" xfId="0" applyNumberFormat="1" applyFont="1" applyBorder="1" applyAlignment="1">
      <alignment horizontal="center" vertical="center"/>
    </xf>
    <xf numFmtId="164" fontId="37" fillId="0" borderId="175" xfId="0" applyNumberFormat="1" applyFont="1" applyBorder="1" applyAlignment="1">
      <alignment horizontal="center" vertical="center"/>
    </xf>
    <xf numFmtId="164" fontId="37" fillId="0" borderId="153" xfId="0" applyNumberFormat="1" applyFont="1" applyBorder="1" applyAlignment="1">
      <alignment horizontal="center" vertical="center"/>
    </xf>
    <xf numFmtId="164" fontId="23" fillId="0" borderId="202" xfId="0" applyNumberFormat="1" applyFont="1" applyBorder="1" applyAlignment="1">
      <alignment horizontal="center" vertical="center"/>
    </xf>
    <xf numFmtId="164" fontId="23" fillId="0" borderId="154" xfId="0" applyNumberFormat="1" applyFont="1" applyBorder="1" applyAlignment="1">
      <alignment horizontal="center" vertical="center"/>
    </xf>
    <xf numFmtId="164" fontId="37" fillId="0" borderId="272" xfId="0" applyNumberFormat="1" applyFont="1" applyBorder="1" applyAlignment="1">
      <alignment horizontal="center" vertical="center"/>
    </xf>
    <xf numFmtId="0" fontId="23" fillId="0" borderId="202" xfId="0" applyFont="1" applyBorder="1" applyAlignment="1">
      <alignment horizontal="center" vertical="center"/>
    </xf>
    <xf numFmtId="0" fontId="23" fillId="0" borderId="150" xfId="0" applyFont="1" applyBorder="1" applyAlignment="1">
      <alignment horizontal="center" vertical="center"/>
    </xf>
    <xf numFmtId="164" fontId="15" fillId="0" borderId="206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 vertical="center"/>
    </xf>
    <xf numFmtId="164" fontId="15" fillId="0" borderId="156" xfId="0" applyNumberFormat="1" applyFont="1" applyBorder="1" applyAlignment="1">
      <alignment horizontal="center" vertical="center"/>
    </xf>
    <xf numFmtId="0" fontId="23" fillId="0" borderId="149" xfId="0" applyFont="1" applyBorder="1" applyAlignment="1">
      <alignment horizontal="center" vertical="center"/>
    </xf>
    <xf numFmtId="0" fontId="23" fillId="0" borderId="276" xfId="0" applyFont="1" applyBorder="1" applyAlignment="1">
      <alignment horizontal="center" vertical="center"/>
    </xf>
    <xf numFmtId="164" fontId="23" fillId="0" borderId="146" xfId="0" applyNumberFormat="1" applyFont="1" applyBorder="1" applyAlignment="1">
      <alignment horizontal="center" vertical="center"/>
    </xf>
    <xf numFmtId="0" fontId="41" fillId="0" borderId="58" xfId="0" applyFont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164" fontId="15" fillId="0" borderId="82" xfId="0" applyNumberFormat="1" applyFont="1" applyBorder="1" applyAlignment="1">
      <alignment horizontal="center" vertical="center"/>
    </xf>
    <xf numFmtId="164" fontId="15" fillId="0" borderId="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164" fontId="15" fillId="0" borderId="287" xfId="0" applyNumberFormat="1" applyFont="1" applyBorder="1" applyAlignment="1">
      <alignment horizontal="center"/>
    </xf>
    <xf numFmtId="164" fontId="15" fillId="0" borderId="61" xfId="0" applyNumberFormat="1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111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288" xfId="0" applyNumberFormat="1" applyFont="1" applyBorder="1" applyAlignment="1">
      <alignment horizontal="center"/>
    </xf>
    <xf numFmtId="164" fontId="15" fillId="0" borderId="100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64" fontId="15" fillId="0" borderId="59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/>
    </xf>
    <xf numFmtId="164" fontId="20" fillId="0" borderId="45" xfId="0" applyNumberFormat="1" applyFont="1" applyBorder="1" applyAlignment="1">
      <alignment horizontal="center" wrapText="1"/>
    </xf>
    <xf numFmtId="0" fontId="27" fillId="0" borderId="289" xfId="0" applyFont="1" applyBorder="1" applyAlignment="1">
      <alignment horizontal="center" wrapText="1"/>
    </xf>
    <xf numFmtId="0" fontId="41" fillId="0" borderId="64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40" fillId="0" borderId="237" xfId="0" applyFont="1" applyBorder="1" applyAlignment="1">
      <alignment horizontal="left" vertical="center"/>
    </xf>
    <xf numFmtId="0" fontId="40" fillId="0" borderId="95" xfId="0" applyFont="1" applyBorder="1" applyAlignment="1">
      <alignment horizontal="left" vertical="center"/>
    </xf>
    <xf numFmtId="0" fontId="40" fillId="0" borderId="1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0" xfId="0" applyFont="1" applyBorder="1" applyAlignment="1">
      <alignment horizontal="left" vertical="center"/>
    </xf>
    <xf numFmtId="0" fontId="40" fillId="0" borderId="147" xfId="0" applyFont="1" applyBorder="1" applyAlignment="1">
      <alignment horizontal="left" vertical="center"/>
    </xf>
    <xf numFmtId="0" fontId="28" fillId="0" borderId="82" xfId="0" applyFont="1" applyBorder="1" applyAlignment="1">
      <alignment horizontal="left" vertical="center"/>
    </xf>
    <xf numFmtId="0" fontId="40" fillId="0" borderId="91" xfId="0" applyFont="1" applyBorder="1" applyAlignment="1">
      <alignment horizontal="left" vertical="center"/>
    </xf>
    <xf numFmtId="0" fontId="40" fillId="0" borderId="146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286" xfId="0" applyFont="1" applyBorder="1" applyAlignment="1">
      <alignment horizontal="left" vertical="center"/>
    </xf>
    <xf numFmtId="0" fontId="40" fillId="0" borderId="201" xfId="0" applyFont="1" applyBorder="1" applyAlignment="1">
      <alignment horizontal="left" vertical="center"/>
    </xf>
    <xf numFmtId="0" fontId="40" fillId="0" borderId="188" xfId="0" applyFont="1" applyBorder="1" applyAlignment="1">
      <alignment horizontal="left" vertical="center"/>
    </xf>
    <xf numFmtId="0" fontId="20" fillId="0" borderId="265" xfId="0" applyFont="1" applyBorder="1" applyAlignment="1">
      <alignment horizontal="left" vertical="center"/>
    </xf>
    <xf numFmtId="0" fontId="40" fillId="0" borderId="132" xfId="0" applyFont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164" fontId="15" fillId="0" borderId="65" xfId="0" applyNumberFormat="1" applyFont="1" applyBorder="1" applyAlignment="1">
      <alignment horizontal="center" vertical="center"/>
    </xf>
    <xf numFmtId="164" fontId="28" fillId="0" borderId="58" xfId="0" applyNumberFormat="1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center" vertical="center" wrapText="1"/>
    </xf>
    <xf numFmtId="164" fontId="29" fillId="0" borderId="266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267" xfId="0" applyFont="1" applyBorder="1" applyAlignment="1">
      <alignment horizontal="center" vertical="center" wrapText="1"/>
    </xf>
    <xf numFmtId="164" fontId="15" fillId="0" borderId="146" xfId="0" applyNumberFormat="1" applyFont="1" applyBorder="1" applyAlignment="1">
      <alignment horizontal="center" vertical="center"/>
    </xf>
    <xf numFmtId="164" fontId="16" fillId="0" borderId="203" xfId="0" applyNumberFormat="1" applyFont="1" applyBorder="1" applyAlignment="1">
      <alignment horizontal="center" vertical="center"/>
    </xf>
    <xf numFmtId="164" fontId="16" fillId="0" borderId="83" xfId="0" applyNumberFormat="1" applyFont="1" applyBorder="1" applyAlignment="1">
      <alignment horizontal="center" vertical="center"/>
    </xf>
    <xf numFmtId="164" fontId="16" fillId="0" borderId="92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232" xfId="0" applyNumberFormat="1" applyFont="1" applyBorder="1" applyAlignment="1">
      <alignment horizontal="center" vertical="center"/>
    </xf>
    <xf numFmtId="164" fontId="15" fillId="0" borderId="81" xfId="0" applyNumberFormat="1" applyFont="1" applyBorder="1" applyAlignment="1">
      <alignment horizontal="center" vertical="center"/>
    </xf>
    <xf numFmtId="164" fontId="16" fillId="0" borderId="52" xfId="0" applyNumberFormat="1" applyFont="1" applyBorder="1" applyAlignment="1">
      <alignment horizontal="center" vertical="center"/>
    </xf>
    <xf numFmtId="164" fontId="16" fillId="0" borderId="65" xfId="0" applyNumberFormat="1" applyFont="1" applyBorder="1" applyAlignment="1">
      <alignment horizontal="center" vertical="center"/>
    </xf>
    <xf numFmtId="164" fontId="16" fillId="0" borderId="81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 vertical="center"/>
    </xf>
    <xf numFmtId="164" fontId="15" fillId="0" borderId="92" xfId="0" applyNumberFormat="1" applyFont="1" applyBorder="1" applyAlignment="1">
      <alignment horizontal="center" vertical="center"/>
    </xf>
    <xf numFmtId="164" fontId="15" fillId="0" borderId="74" xfId="0" applyNumberFormat="1" applyFont="1" applyBorder="1" applyAlignment="1">
      <alignment horizontal="center" vertical="center"/>
    </xf>
    <xf numFmtId="164" fontId="15" fillId="0" borderId="106" xfId="0" applyNumberFormat="1" applyFont="1" applyBorder="1" applyAlignment="1">
      <alignment horizontal="center" vertical="center"/>
    </xf>
    <xf numFmtId="164" fontId="16" fillId="0" borderId="156" xfId="0" applyNumberFormat="1" applyFont="1" applyBorder="1" applyAlignment="1">
      <alignment horizontal="center" vertical="center"/>
    </xf>
    <xf numFmtId="164" fontId="16" fillId="0" borderId="109" xfId="0" applyNumberFormat="1" applyFont="1" applyBorder="1" applyAlignment="1">
      <alignment horizontal="center" vertical="center"/>
    </xf>
    <xf numFmtId="164" fontId="16" fillId="0" borderId="1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95" xfId="0" applyNumberFormat="1" applyFont="1" applyBorder="1" applyAlignment="1">
      <alignment horizontal="center" vertical="center"/>
    </xf>
    <xf numFmtId="164" fontId="15" fillId="0" borderId="140" xfId="0" applyNumberFormat="1" applyFont="1" applyBorder="1" applyAlignment="1">
      <alignment horizontal="center" vertical="center"/>
    </xf>
    <xf numFmtId="164" fontId="15" fillId="0" borderId="265" xfId="0" applyNumberFormat="1" applyFont="1" applyBorder="1" applyAlignment="1">
      <alignment horizontal="center" vertical="center"/>
    </xf>
    <xf numFmtId="164" fontId="15" fillId="0" borderId="247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 vertical="center"/>
    </xf>
    <xf numFmtId="164" fontId="15" fillId="0" borderId="164" xfId="0" applyNumberFormat="1" applyFont="1" applyBorder="1" applyAlignment="1">
      <alignment horizontal="center" vertical="center"/>
    </xf>
    <xf numFmtId="164" fontId="15" fillId="0" borderId="281" xfId="0" applyNumberFormat="1" applyFont="1" applyBorder="1" applyAlignment="1">
      <alignment horizontal="center" vertical="center"/>
    </xf>
    <xf numFmtId="164" fontId="15" fillId="0" borderId="172" xfId="0" applyNumberFormat="1" applyFont="1" applyBorder="1" applyAlignment="1">
      <alignment horizontal="center" vertical="center"/>
    </xf>
    <xf numFmtId="164" fontId="15" fillId="0" borderId="72" xfId="0" applyNumberFormat="1" applyFont="1" applyBorder="1" applyAlignment="1">
      <alignment horizontal="center" vertical="center"/>
    </xf>
    <xf numFmtId="164" fontId="15" fillId="0" borderId="257" xfId="0" applyNumberFormat="1" applyFont="1" applyBorder="1" applyAlignment="1">
      <alignment horizontal="center" vertical="center"/>
    </xf>
    <xf numFmtId="164" fontId="15" fillId="0" borderId="235" xfId="0" applyNumberFormat="1" applyFont="1" applyBorder="1" applyAlignment="1">
      <alignment horizontal="center" vertical="center"/>
    </xf>
    <xf numFmtId="164" fontId="15" fillId="0" borderId="274" xfId="0" applyNumberFormat="1" applyFont="1" applyBorder="1" applyAlignment="1">
      <alignment horizontal="center" vertical="center"/>
    </xf>
    <xf numFmtId="164" fontId="15" fillId="0" borderId="253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164" fontId="15" fillId="0" borderId="217" xfId="0" applyNumberFormat="1" applyFont="1" applyBorder="1" applyAlignment="1">
      <alignment horizontal="center" vertical="center"/>
    </xf>
    <xf numFmtId="164" fontId="15" fillId="0" borderId="280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290" xfId="0" applyNumberFormat="1" applyFont="1" applyBorder="1" applyAlignment="1">
      <alignment horizontal="center" vertical="center"/>
    </xf>
    <xf numFmtId="164" fontId="15" fillId="0" borderId="150" xfId="0" applyNumberFormat="1" applyFont="1" applyBorder="1" applyAlignment="1">
      <alignment horizontal="center" vertical="center"/>
    </xf>
    <xf numFmtId="164" fontId="15" fillId="0" borderId="276" xfId="0" applyNumberFormat="1" applyFont="1" applyBorder="1" applyAlignment="1">
      <alignment horizontal="center" vertical="center"/>
    </xf>
    <xf numFmtId="164" fontId="15" fillId="0" borderId="262" xfId="0" applyNumberFormat="1" applyFont="1" applyBorder="1" applyAlignment="1">
      <alignment horizontal="center" vertical="center"/>
    </xf>
    <xf numFmtId="164" fontId="15" fillId="0" borderId="258" xfId="0" applyNumberFormat="1" applyFont="1" applyBorder="1" applyAlignment="1">
      <alignment horizontal="center" vertical="center"/>
    </xf>
    <xf numFmtId="164" fontId="15" fillId="0" borderId="275" xfId="0" applyNumberFormat="1" applyFont="1" applyBorder="1" applyAlignment="1">
      <alignment horizontal="center" vertical="center"/>
    </xf>
    <xf numFmtId="164" fontId="15" fillId="0" borderId="181" xfId="0" applyNumberFormat="1" applyFont="1" applyBorder="1" applyAlignment="1">
      <alignment horizontal="center" vertical="center"/>
    </xf>
    <xf numFmtId="164" fontId="15" fillId="0" borderId="88" xfId="0" applyNumberFormat="1" applyFont="1" applyBorder="1" applyAlignment="1">
      <alignment horizontal="center" vertical="center"/>
    </xf>
    <xf numFmtId="164" fontId="15" fillId="0" borderId="143" xfId="0" applyNumberFormat="1" applyFont="1" applyBorder="1" applyAlignment="1">
      <alignment horizontal="center" vertical="center"/>
    </xf>
    <xf numFmtId="164" fontId="15" fillId="0" borderId="263" xfId="0" applyNumberFormat="1" applyFont="1" applyBorder="1" applyAlignment="1">
      <alignment horizontal="center" vertical="center"/>
    </xf>
    <xf numFmtId="164" fontId="15" fillId="0" borderId="171" xfId="0" applyNumberFormat="1" applyFont="1" applyBorder="1" applyAlignment="1">
      <alignment horizontal="center" vertical="center"/>
    </xf>
    <xf numFmtId="164" fontId="15" fillId="0" borderId="277" xfId="0" applyNumberFormat="1" applyFont="1" applyBorder="1" applyAlignment="1">
      <alignment horizontal="center" vertical="center"/>
    </xf>
    <xf numFmtId="164" fontId="15" fillId="0" borderId="87" xfId="0" applyNumberFormat="1" applyFont="1" applyBorder="1" applyAlignment="1">
      <alignment horizontal="center" vertical="center"/>
    </xf>
    <xf numFmtId="164" fontId="15" fillId="0" borderId="282" xfId="0" applyNumberFormat="1" applyFont="1" applyBorder="1" applyAlignment="1">
      <alignment horizontal="center" vertical="center"/>
    </xf>
    <xf numFmtId="164" fontId="15" fillId="0" borderId="169" xfId="0" applyNumberFormat="1" applyFont="1" applyBorder="1" applyAlignment="1">
      <alignment horizontal="center" vertical="center"/>
    </xf>
    <xf numFmtId="164" fontId="15" fillId="0" borderId="201" xfId="0" applyNumberFormat="1" applyFont="1" applyBorder="1" applyAlignment="1">
      <alignment horizontal="center" vertical="center"/>
    </xf>
    <xf numFmtId="164" fontId="15" fillId="0" borderId="90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5" fillId="0" borderId="287" xfId="0" applyNumberFormat="1" applyFont="1" applyBorder="1" applyAlignment="1">
      <alignment horizontal="center" vertical="center"/>
    </xf>
    <xf numFmtId="164" fontId="15" fillId="0" borderId="114" xfId="0" applyNumberFormat="1" applyFont="1" applyBorder="1" applyAlignment="1">
      <alignment horizontal="center" vertical="center"/>
    </xf>
    <xf numFmtId="164" fontId="15" fillId="0" borderId="271" xfId="0" applyNumberFormat="1" applyFont="1" applyBorder="1" applyAlignment="1">
      <alignment horizontal="center" vertical="center"/>
    </xf>
    <xf numFmtId="164" fontId="15" fillId="0" borderId="252" xfId="0" applyNumberFormat="1" applyFont="1" applyBorder="1" applyAlignment="1">
      <alignment horizontal="center" vertical="center"/>
    </xf>
    <xf numFmtId="164" fontId="15" fillId="0" borderId="233" xfId="0" applyNumberFormat="1" applyFont="1" applyBorder="1" applyAlignment="1">
      <alignment horizontal="center" vertical="center"/>
    </xf>
    <xf numFmtId="164" fontId="15" fillId="0" borderId="278" xfId="0" applyNumberFormat="1" applyFont="1" applyBorder="1" applyAlignment="1">
      <alignment horizontal="center" vertical="center"/>
    </xf>
    <xf numFmtId="164" fontId="15" fillId="0" borderId="229" xfId="0" applyNumberFormat="1" applyFont="1" applyBorder="1" applyAlignment="1">
      <alignment horizontal="center" vertical="center"/>
    </xf>
    <xf numFmtId="164" fontId="15" fillId="0" borderId="279" xfId="0" applyNumberFormat="1" applyFont="1" applyBorder="1" applyAlignment="1">
      <alignment horizontal="center" vertical="center"/>
    </xf>
    <xf numFmtId="164" fontId="15" fillId="0" borderId="222" xfId="0" applyNumberFormat="1" applyFont="1" applyBorder="1" applyAlignment="1">
      <alignment horizontal="center" vertical="center"/>
    </xf>
    <xf numFmtId="164" fontId="15" fillId="0" borderId="225" xfId="0" applyNumberFormat="1" applyFont="1" applyBorder="1" applyAlignment="1">
      <alignment horizontal="center" vertical="center"/>
    </xf>
    <xf numFmtId="164" fontId="15" fillId="0" borderId="226" xfId="0" applyNumberFormat="1" applyFont="1" applyBorder="1" applyAlignment="1">
      <alignment horizontal="center" vertical="center"/>
    </xf>
    <xf numFmtId="164" fontId="15" fillId="0" borderId="228" xfId="0" applyNumberFormat="1" applyFont="1" applyBorder="1" applyAlignment="1">
      <alignment horizontal="center" vertical="center"/>
    </xf>
    <xf numFmtId="164" fontId="16" fillId="0" borderId="229" xfId="0" applyNumberFormat="1" applyFont="1" applyBorder="1" applyAlignment="1">
      <alignment horizontal="center" vertical="center"/>
    </xf>
    <xf numFmtId="164" fontId="15" fillId="0" borderId="230" xfId="0" applyNumberFormat="1" applyFont="1" applyBorder="1" applyAlignment="1">
      <alignment horizontal="center" vertical="center"/>
    </xf>
    <xf numFmtId="164" fontId="16" fillId="0" borderId="231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64" fontId="16" fillId="0" borderId="227" xfId="0" applyNumberFormat="1" applyFont="1" applyBorder="1" applyAlignment="1">
      <alignment horizontal="center" vertical="center"/>
    </xf>
    <xf numFmtId="164" fontId="16" fillId="0" borderId="232" xfId="0" applyNumberFormat="1" applyFont="1" applyBorder="1" applyAlignment="1">
      <alignment horizontal="center" vertical="center"/>
    </xf>
    <xf numFmtId="164" fontId="15" fillId="0" borderId="219" xfId="0" applyNumberFormat="1" applyFont="1" applyBorder="1" applyAlignment="1">
      <alignment horizontal="center" vertical="center"/>
    </xf>
    <xf numFmtId="164" fontId="15" fillId="0" borderId="220" xfId="0" applyNumberFormat="1" applyFont="1" applyBorder="1" applyAlignment="1">
      <alignment horizontal="center" vertical="center"/>
    </xf>
    <xf numFmtId="164" fontId="15" fillId="0" borderId="142" xfId="0" applyNumberFormat="1" applyFont="1" applyBorder="1" applyAlignment="1">
      <alignment horizontal="center" vertical="center"/>
    </xf>
    <xf numFmtId="164" fontId="16" fillId="0" borderId="221" xfId="0" applyNumberFormat="1" applyFont="1" applyBorder="1" applyAlignment="1">
      <alignment horizontal="center" vertical="center"/>
    </xf>
    <xf numFmtId="164" fontId="15" fillId="0" borderId="223" xfId="0" applyNumberFormat="1" applyFont="1" applyBorder="1" applyAlignment="1">
      <alignment horizontal="center" vertical="center"/>
    </xf>
    <xf numFmtId="164" fontId="15" fillId="0" borderId="224" xfId="0" applyNumberFormat="1" applyFont="1" applyBorder="1" applyAlignment="1">
      <alignment horizontal="center" vertical="center"/>
    </xf>
    <xf numFmtId="164" fontId="15" fillId="0" borderId="204" xfId="0" applyNumberFormat="1" applyFont="1" applyBorder="1" applyAlignment="1">
      <alignment horizontal="center" vertical="center"/>
    </xf>
    <xf numFmtId="164" fontId="15" fillId="0" borderId="205" xfId="0" applyNumberFormat="1" applyFont="1" applyBorder="1" applyAlignment="1">
      <alignment horizontal="center" vertical="center"/>
    </xf>
    <xf numFmtId="164" fontId="15" fillId="0" borderId="207" xfId="0" applyNumberFormat="1" applyFont="1" applyBorder="1" applyAlignment="1">
      <alignment horizontal="center" vertical="center"/>
    </xf>
    <xf numFmtId="164" fontId="15" fillId="0" borderId="196" xfId="0" applyNumberFormat="1" applyFont="1" applyBorder="1" applyAlignment="1">
      <alignment horizontal="center" vertical="center"/>
    </xf>
    <xf numFmtId="164" fontId="15" fillId="0" borderId="208" xfId="0" applyNumberFormat="1" applyFont="1" applyBorder="1" applyAlignment="1">
      <alignment horizontal="center" vertical="center"/>
    </xf>
    <xf numFmtId="164" fontId="15" fillId="0" borderId="117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144" xfId="0" applyNumberFormat="1" applyFont="1" applyBorder="1" applyAlignment="1">
      <alignment horizontal="center" vertical="center"/>
    </xf>
    <xf numFmtId="164" fontId="15" fillId="0" borderId="126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26" xfId="0" applyFont="1" applyBorder="1" applyAlignment="1">
      <alignment horizontal="center" vertical="center"/>
    </xf>
    <xf numFmtId="164" fontId="15" fillId="0" borderId="241" xfId="0" applyNumberFormat="1" applyFont="1" applyBorder="1" applyAlignment="1">
      <alignment horizontal="center" vertical="center"/>
    </xf>
    <xf numFmtId="164" fontId="15" fillId="0" borderId="243" xfId="0" applyNumberFormat="1" applyFont="1" applyBorder="1" applyAlignment="1">
      <alignment horizontal="center" vertical="center"/>
    </xf>
    <xf numFmtId="164" fontId="15" fillId="0" borderId="242" xfId="0" applyNumberFormat="1" applyFont="1" applyBorder="1" applyAlignment="1">
      <alignment horizontal="center" vertical="center"/>
    </xf>
    <xf numFmtId="164" fontId="15" fillId="0" borderId="244" xfId="0" applyNumberFormat="1" applyFont="1" applyBorder="1" applyAlignment="1">
      <alignment horizontal="center" vertical="center"/>
    </xf>
    <xf numFmtId="164" fontId="15" fillId="0" borderId="249" xfId="0" applyNumberFormat="1" applyFont="1" applyBorder="1" applyAlignment="1">
      <alignment horizontal="center" vertical="center"/>
    </xf>
    <xf numFmtId="0" fontId="15" fillId="0" borderId="235" xfId="0" applyFont="1" applyBorder="1" applyAlignment="1">
      <alignment horizontal="center" vertical="center"/>
    </xf>
    <xf numFmtId="0" fontId="15" fillId="0" borderId="236" xfId="0" applyFont="1" applyBorder="1" applyAlignment="1">
      <alignment horizontal="center" vertical="center"/>
    </xf>
    <xf numFmtId="0" fontId="15" fillId="0" borderId="124" xfId="0" applyFont="1" applyBorder="1" applyAlignment="1">
      <alignment horizontal="center" vertical="center"/>
    </xf>
    <xf numFmtId="164" fontId="15" fillId="0" borderId="236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25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48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5" fillId="0" borderId="125" xfId="0" applyNumberFormat="1" applyFont="1" applyBorder="1" applyAlignment="1">
      <alignment horizontal="center" vertical="center"/>
    </xf>
    <xf numFmtId="164" fontId="15" fillId="0" borderId="259" xfId="0" applyNumberFormat="1" applyFont="1" applyBorder="1" applyAlignment="1">
      <alignment horizontal="center" vertical="center"/>
    </xf>
    <xf numFmtId="164" fontId="15" fillId="0" borderId="260" xfId="0" applyNumberFormat="1" applyFont="1" applyBorder="1" applyAlignment="1">
      <alignment horizontal="center" vertical="center"/>
    </xf>
    <xf numFmtId="164" fontId="15" fillId="0" borderId="264" xfId="0" applyNumberFormat="1" applyFont="1" applyBorder="1" applyAlignment="1">
      <alignment horizontal="center" vertical="center"/>
    </xf>
    <xf numFmtId="164" fontId="15" fillId="0" borderId="183" xfId="0" applyNumberFormat="1" applyFont="1" applyBorder="1" applyAlignment="1">
      <alignment horizontal="center" vertical="center"/>
    </xf>
    <xf numFmtId="164" fontId="15" fillId="0" borderId="234" xfId="0" applyNumberFormat="1" applyFont="1" applyBorder="1" applyAlignment="1">
      <alignment horizontal="center" vertical="center"/>
    </xf>
    <xf numFmtId="164" fontId="15" fillId="0" borderId="255" xfId="0" applyNumberFormat="1" applyFont="1" applyBorder="1" applyAlignment="1">
      <alignment horizontal="center" vertical="center"/>
    </xf>
    <xf numFmtId="164" fontId="15" fillId="0" borderId="256" xfId="0" applyNumberFormat="1" applyFont="1" applyBorder="1" applyAlignment="1">
      <alignment horizontal="center" vertical="center"/>
    </xf>
    <xf numFmtId="164" fontId="15" fillId="0" borderId="28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4" fontId="15" fillId="0" borderId="152" xfId="0" applyNumberFormat="1" applyFont="1" applyBorder="1" applyAlignment="1">
      <alignment horizontal="center" vertical="center"/>
    </xf>
    <xf numFmtId="164" fontId="16" fillId="0" borderId="259" xfId="0" applyNumberFormat="1" applyFont="1" applyBorder="1" applyAlignment="1">
      <alignment horizontal="center" vertical="center"/>
    </xf>
    <xf numFmtId="164" fontId="15" fillId="0" borderId="273" xfId="0" applyNumberFormat="1" applyFont="1" applyBorder="1" applyAlignment="1">
      <alignment horizontal="center" vertical="center"/>
    </xf>
    <xf numFmtId="164" fontId="15" fillId="0" borderId="191" xfId="0" applyNumberFormat="1" applyFont="1" applyBorder="1" applyAlignment="1">
      <alignment horizontal="center" vertical="center"/>
    </xf>
    <xf numFmtId="164" fontId="16" fillId="0" borderId="129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/>
    </xf>
    <xf numFmtId="164" fontId="15" fillId="0" borderId="166" xfId="0" applyNumberFormat="1" applyFont="1" applyBorder="1" applyAlignment="1">
      <alignment horizontal="center" vertical="center"/>
    </xf>
    <xf numFmtId="164" fontId="15" fillId="0" borderId="168" xfId="0" applyNumberFormat="1" applyFont="1" applyBorder="1" applyAlignment="1">
      <alignment horizontal="center" vertical="center"/>
    </xf>
    <xf numFmtId="164" fontId="15" fillId="0" borderId="170" xfId="0" applyNumberFormat="1" applyFont="1" applyBorder="1" applyAlignment="1">
      <alignment horizontal="center" vertical="center"/>
    </xf>
    <xf numFmtId="164" fontId="15" fillId="0" borderId="154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 vertical="center"/>
    </xf>
    <xf numFmtId="164" fontId="15" fillId="0" borderId="155" xfId="0" applyNumberFormat="1" applyFont="1" applyBorder="1" applyAlignment="1">
      <alignment horizontal="center" vertical="center"/>
    </xf>
    <xf numFmtId="164" fontId="15" fillId="0" borderId="283" xfId="0" applyNumberFormat="1" applyFont="1" applyBorder="1" applyAlignment="1">
      <alignment horizontal="center" vertical="center"/>
    </xf>
    <xf numFmtId="164" fontId="15" fillId="0" borderId="284" xfId="0" applyNumberFormat="1" applyFont="1" applyBorder="1" applyAlignment="1">
      <alignment horizontal="center" vertical="center"/>
    </xf>
    <xf numFmtId="164" fontId="15" fillId="0" borderId="93" xfId="0" applyNumberFormat="1" applyFont="1" applyBorder="1" applyAlignment="1">
      <alignment horizontal="center" vertical="center"/>
    </xf>
    <xf numFmtId="164" fontId="15" fillId="0" borderId="221" xfId="0" applyNumberFormat="1" applyFont="1" applyBorder="1" applyAlignment="1">
      <alignment horizontal="center" vertical="center"/>
    </xf>
    <xf numFmtId="164" fontId="15" fillId="0" borderId="270" xfId="0" applyNumberFormat="1" applyFont="1" applyBorder="1" applyAlignment="1">
      <alignment horizontal="center" vertical="center"/>
    </xf>
    <xf numFmtId="164" fontId="15" fillId="0" borderId="261" xfId="0" applyNumberFormat="1" applyFont="1" applyBorder="1" applyAlignment="1">
      <alignment horizontal="center" vertical="center"/>
    </xf>
    <xf numFmtId="0" fontId="40" fillId="0" borderId="94" xfId="0" applyFont="1" applyBorder="1" applyAlignment="1">
      <alignment horizontal="left" vertical="center"/>
    </xf>
    <xf numFmtId="0" fontId="40" fillId="0" borderId="238" xfId="0" applyFont="1" applyBorder="1" applyAlignment="1">
      <alignment horizontal="left" vertical="center"/>
    </xf>
    <xf numFmtId="164" fontId="23" fillId="0" borderId="94" xfId="0" applyNumberFormat="1" applyFont="1" applyBorder="1" applyAlignment="1">
      <alignment horizontal="center" vertical="center"/>
    </xf>
    <xf numFmtId="164" fontId="23" fillId="0" borderId="91" xfId="0" applyNumberFormat="1" applyFont="1" applyBorder="1" applyAlignment="1">
      <alignment horizontal="center" vertical="center"/>
    </xf>
    <xf numFmtId="0" fontId="0" fillId="0" borderId="100" xfId="0" applyBorder="1" applyAlignment="1">
      <alignment vertical="center"/>
    </xf>
    <xf numFmtId="164" fontId="15" fillId="0" borderId="218" xfId="0" applyNumberFormat="1" applyFont="1" applyBorder="1" applyAlignment="1">
      <alignment horizontal="center" vertical="center"/>
    </xf>
    <xf numFmtId="164" fontId="15" fillId="0" borderId="119" xfId="0" applyNumberFormat="1" applyFont="1" applyBorder="1" applyAlignment="1">
      <alignment horizontal="center" vertical="center"/>
    </xf>
    <xf numFmtId="164" fontId="15" fillId="0" borderId="96" xfId="0" applyNumberFormat="1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64" fontId="15" fillId="0" borderId="240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164" fontId="15" fillId="0" borderId="254" xfId="0" applyNumberFormat="1" applyFont="1" applyBorder="1" applyAlignment="1">
      <alignment horizontal="center" vertical="center"/>
    </xf>
    <xf numFmtId="164" fontId="15" fillId="0" borderId="124" xfId="0" applyNumberFormat="1" applyFont="1" applyBorder="1" applyAlignment="1">
      <alignment horizontal="center" vertical="center"/>
    </xf>
    <xf numFmtId="164" fontId="15" fillId="0" borderId="149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/>
    </xf>
    <xf numFmtId="1" fontId="39" fillId="0" borderId="52" xfId="0" applyNumberFormat="1" applyFont="1" applyBorder="1" applyAlignment="1">
      <alignment horizontal="center" vertical="center" wrapText="1"/>
    </xf>
    <xf numFmtId="1" fontId="39" fillId="0" borderId="5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0" fillId="0" borderId="0" xfId="0" applyNumberFormat="1"/>
    <xf numFmtId="164" fontId="39" fillId="0" borderId="52" xfId="0" applyNumberFormat="1" applyFont="1" applyBorder="1" applyAlignment="1">
      <alignment horizontal="center" vertical="center" wrapText="1"/>
    </xf>
    <xf numFmtId="164" fontId="39" fillId="0" borderId="53" xfId="0" applyNumberFormat="1" applyFont="1" applyBorder="1" applyAlignment="1">
      <alignment horizontal="center" vertical="center" wrapText="1"/>
    </xf>
    <xf numFmtId="164" fontId="15" fillId="0" borderId="210" xfId="0" applyNumberFormat="1" applyFont="1" applyBorder="1" applyAlignment="1">
      <alignment horizontal="center" vertical="center"/>
    </xf>
    <xf numFmtId="164" fontId="15" fillId="0" borderId="291" xfId="0" applyNumberFormat="1" applyFont="1" applyBorder="1" applyAlignment="1">
      <alignment horizontal="center" vertical="center"/>
    </xf>
    <xf numFmtId="164" fontId="15" fillId="0" borderId="248" xfId="0" applyNumberFormat="1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64" fontId="23" fillId="0" borderId="73" xfId="0" applyNumberFormat="1" applyFont="1" applyBorder="1" applyAlignment="1">
      <alignment horizontal="center" vertical="center"/>
    </xf>
    <xf numFmtId="164" fontId="23" fillId="0" borderId="250" xfId="0" applyNumberFormat="1" applyFont="1" applyBorder="1" applyAlignment="1">
      <alignment horizontal="center" vertical="center"/>
    </xf>
    <xf numFmtId="164" fontId="23" fillId="0" borderId="251" xfId="0" applyNumberFormat="1" applyFont="1" applyBorder="1" applyAlignment="1">
      <alignment horizontal="center" vertical="center"/>
    </xf>
    <xf numFmtId="164" fontId="16" fillId="0" borderId="292" xfId="0" applyNumberFormat="1" applyFont="1" applyBorder="1" applyAlignment="1">
      <alignment horizontal="center" vertical="center"/>
    </xf>
    <xf numFmtId="164" fontId="15" fillId="0" borderId="115" xfId="0" applyNumberFormat="1" applyFont="1" applyBorder="1" applyAlignment="1">
      <alignment horizontal="center" vertical="center"/>
    </xf>
    <xf numFmtId="164" fontId="15" fillId="0" borderId="245" xfId="0" applyNumberFormat="1" applyFont="1" applyBorder="1" applyAlignment="1">
      <alignment horizontal="center" vertical="center"/>
    </xf>
    <xf numFmtId="164" fontId="23" fillId="0" borderId="75" xfId="0" applyNumberFormat="1" applyFont="1" applyBorder="1" applyAlignment="1">
      <alignment horizontal="center" vertical="center"/>
    </xf>
    <xf numFmtId="164" fontId="23" fillId="0" borderId="76" xfId="0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164" fontId="23" fillId="0" borderId="293" xfId="0" applyNumberFormat="1" applyFont="1" applyBorder="1" applyAlignment="1">
      <alignment horizontal="center" vertical="center"/>
    </xf>
    <xf numFmtId="0" fontId="23" fillId="0" borderId="209" xfId="0" applyFont="1" applyBorder="1" applyAlignment="1">
      <alignment horizontal="center" vertical="center"/>
    </xf>
    <xf numFmtId="164" fontId="23" fillId="0" borderId="286" xfId="0" applyNumberFormat="1" applyFont="1" applyBorder="1" applyAlignment="1">
      <alignment horizontal="center" vertical="center"/>
    </xf>
    <xf numFmtId="164" fontId="23" fillId="0" borderId="209" xfId="0" applyNumberFormat="1" applyFont="1" applyBorder="1" applyAlignment="1">
      <alignment horizontal="center" vertical="center"/>
    </xf>
    <xf numFmtId="164" fontId="23" fillId="0" borderId="294" xfId="0" applyNumberFormat="1" applyFont="1" applyBorder="1" applyAlignment="1">
      <alignment horizontal="center" vertical="center"/>
    </xf>
    <xf numFmtId="1" fontId="23" fillId="0" borderId="286" xfId="0" applyNumberFormat="1" applyFont="1" applyBorder="1" applyAlignment="1">
      <alignment horizontal="center" vertical="center"/>
    </xf>
    <xf numFmtId="1" fontId="23" fillId="0" borderId="132" xfId="0" applyNumberFormat="1" applyFont="1" applyBorder="1" applyAlignment="1">
      <alignment horizontal="center" vertical="center"/>
    </xf>
    <xf numFmtId="1" fontId="23" fillId="0" borderId="239" xfId="0" applyNumberFormat="1" applyFont="1" applyBorder="1" applyAlignment="1">
      <alignment horizontal="center" vertical="center"/>
    </xf>
    <xf numFmtId="0" fontId="23" fillId="0" borderId="286" xfId="0" applyFont="1" applyBorder="1" applyAlignment="1">
      <alignment horizontal="center" vertical="center"/>
    </xf>
    <xf numFmtId="1" fontId="23" fillId="0" borderId="59" xfId="0" applyNumberFormat="1" applyFont="1" applyBorder="1" applyAlignment="1">
      <alignment horizontal="center" vertical="center"/>
    </xf>
    <xf numFmtId="164" fontId="31" fillId="0" borderId="73" xfId="0" applyNumberFormat="1" applyFont="1" applyBorder="1" applyAlignment="1">
      <alignment horizontal="center" vertical="center"/>
    </xf>
    <xf numFmtId="164" fontId="31" fillId="0" borderId="76" xfId="0" applyNumberFormat="1" applyFont="1" applyBorder="1" applyAlignment="1">
      <alignment horizontal="center" vertical="center"/>
    </xf>
    <xf numFmtId="164" fontId="31" fillId="0" borderId="142" xfId="0" applyNumberFormat="1" applyFont="1" applyBorder="1" applyAlignment="1">
      <alignment horizontal="center" vertical="center"/>
    </xf>
    <xf numFmtId="172" fontId="0" fillId="0" borderId="0" xfId="0" applyNumberFormat="1"/>
    <xf numFmtId="0" fontId="41" fillId="0" borderId="59" xfId="0" applyFont="1" applyBorder="1" applyAlignment="1">
      <alignment horizontal="center"/>
    </xf>
    <xf numFmtId="172" fontId="41" fillId="0" borderId="60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71" xfId="0" applyBorder="1"/>
    <xf numFmtId="172" fontId="0" fillId="0" borderId="71" xfId="0" applyNumberFormat="1" applyBorder="1"/>
    <xf numFmtId="0" fontId="0" fillId="0" borderId="73" xfId="0" applyBorder="1"/>
    <xf numFmtId="172" fontId="0" fillId="0" borderId="74" xfId="0" applyNumberFormat="1" applyBorder="1"/>
    <xf numFmtId="0" fontId="0" fillId="0" borderId="250" xfId="0" applyBorder="1"/>
    <xf numFmtId="0" fontId="0" fillId="0" borderId="251" xfId="0" applyBorder="1"/>
    <xf numFmtId="172" fontId="0" fillId="0" borderId="252" xfId="0" applyNumberFormat="1" applyBorder="1"/>
    <xf numFmtId="0" fontId="0" fillId="0" borderId="107" xfId="0" applyBorder="1"/>
    <xf numFmtId="0" fontId="0" fillId="0" borderId="108" xfId="0" applyBorder="1"/>
    <xf numFmtId="172" fontId="0" fillId="0" borderId="109" xfId="0" applyNumberFormat="1" applyBorder="1"/>
    <xf numFmtId="0" fontId="41" fillId="0" borderId="58" xfId="0" applyFont="1" applyBorder="1" applyAlignment="1">
      <alignment horizontal="center"/>
    </xf>
    <xf numFmtId="0" fontId="0" fillId="0" borderId="108" xfId="0" applyBorder="1" applyAlignment="1">
      <alignment horizontal="right"/>
    </xf>
    <xf numFmtId="0" fontId="0" fillId="0" borderId="71" xfId="0" applyBorder="1" applyAlignment="1">
      <alignment horizontal="right"/>
    </xf>
    <xf numFmtId="0" fontId="0" fillId="0" borderId="251" xfId="0" applyBorder="1" applyAlignment="1">
      <alignment horizontal="right"/>
    </xf>
    <xf numFmtId="172" fontId="0" fillId="0" borderId="108" xfId="0" applyNumberFormat="1" applyBorder="1"/>
    <xf numFmtId="172" fontId="0" fillId="0" borderId="251" xfId="0" applyNumberFormat="1" applyBorder="1"/>
    <xf numFmtId="3" fontId="0" fillId="0" borderId="71" xfId="0" applyNumberFormat="1" applyBorder="1"/>
    <xf numFmtId="173" fontId="0" fillId="0" borderId="71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172" fontId="25" fillId="0" borderId="52" xfId="0" applyNumberFormat="1" applyFont="1" applyBorder="1" applyAlignment="1">
      <alignment horizontal="center" vertical="center" wrapText="1"/>
    </xf>
    <xf numFmtId="172" fontId="0" fillId="0" borderId="53" xfId="0" applyNumberFormat="1" applyBorder="1" applyAlignment="1">
      <alignment horizontal="center" vertical="center" wrapText="1"/>
    </xf>
    <xf numFmtId="172" fontId="0" fillId="0" borderId="54" xfId="0" applyNumberFormat="1" applyBorder="1" applyAlignment="1">
      <alignment horizontal="center" vertical="center" wrapText="1"/>
    </xf>
    <xf numFmtId="172" fontId="23" fillId="0" borderId="69" xfId="0" applyNumberFormat="1" applyFont="1" applyBorder="1" applyAlignment="1">
      <alignment horizontal="center" vertical="center"/>
    </xf>
    <xf numFmtId="172" fontId="23" fillId="0" borderId="70" xfId="0" applyNumberFormat="1" applyFont="1" applyBorder="1" applyAlignment="1">
      <alignment horizontal="center" vertical="center"/>
    </xf>
    <xf numFmtId="172" fontId="23" fillId="0" borderId="0" xfId="0" applyNumberFormat="1" applyFont="1" applyBorder="1" applyAlignment="1">
      <alignment horizontal="center" vertical="center"/>
    </xf>
    <xf numFmtId="172" fontId="23" fillId="0" borderId="61" xfId="0" applyNumberFormat="1" applyFont="1" applyBorder="1" applyAlignment="1">
      <alignment horizontal="center" vertical="center"/>
    </xf>
    <xf numFmtId="172" fontId="23" fillId="0" borderId="44" xfId="0" applyNumberFormat="1" applyFont="1" applyBorder="1" applyAlignment="1">
      <alignment horizontal="center" vertical="center"/>
    </xf>
    <xf numFmtId="172" fontId="23" fillId="0" borderId="111" xfId="0" applyNumberFormat="1" applyFont="1" applyBorder="1" applyAlignment="1">
      <alignment horizontal="center" vertical="center"/>
    </xf>
    <xf numFmtId="172" fontId="23" fillId="0" borderId="10" xfId="0" applyNumberFormat="1" applyFont="1" applyBorder="1" applyAlignment="1">
      <alignment horizontal="center" vertical="center"/>
    </xf>
    <xf numFmtId="172" fontId="23" fillId="0" borderId="65" xfId="0" applyNumberFormat="1" applyFont="1" applyBorder="1" applyAlignment="1">
      <alignment horizontal="center" vertical="center"/>
    </xf>
    <xf numFmtId="172" fontId="23" fillId="0" borderId="80" xfId="0" applyNumberFormat="1" applyFont="1" applyBorder="1" applyAlignment="1">
      <alignment horizontal="center" vertical="center"/>
    </xf>
    <xf numFmtId="172" fontId="23" fillId="0" borderId="91" xfId="0" applyNumberFormat="1" applyFont="1" applyBorder="1" applyAlignment="1">
      <alignment horizontal="center" vertical="center"/>
    </xf>
    <xf numFmtId="172" fontId="0" fillId="0" borderId="0" xfId="0" applyNumberFormat="1" applyAlignment="1">
      <alignment vertical="center"/>
    </xf>
    <xf numFmtId="172" fontId="23" fillId="0" borderId="81" xfId="0" applyNumberFormat="1" applyFont="1" applyBorder="1" applyAlignment="1">
      <alignment horizontal="center" vertical="center"/>
    </xf>
    <xf numFmtId="172" fontId="23" fillId="0" borderId="8" xfId="0" applyNumberFormat="1" applyFont="1" applyBorder="1" applyAlignment="1">
      <alignment horizontal="center"/>
    </xf>
    <xf numFmtId="172" fontId="0" fillId="0" borderId="0" xfId="0" applyNumberFormat="1" applyBorder="1"/>
    <xf numFmtId="172" fontId="23" fillId="0" borderId="0" xfId="0" applyNumberFormat="1" applyFont="1" applyBorder="1" applyAlignment="1">
      <alignment horizontal="center"/>
    </xf>
    <xf numFmtId="172" fontId="31" fillId="0" borderId="280" xfId="0" applyNumberFormat="1" applyFont="1" applyBorder="1" applyAlignment="1">
      <alignment horizontal="center" vertical="center"/>
    </xf>
    <xf numFmtId="3" fontId="0" fillId="0" borderId="251" xfId="0" applyNumberFormat="1" applyBorder="1"/>
    <xf numFmtId="173" fontId="0" fillId="0" borderId="251" xfId="0" applyNumberFormat="1" applyBorder="1"/>
    <xf numFmtId="0" fontId="15" fillId="0" borderId="218" xfId="0" applyNumberFormat="1" applyFont="1" applyBorder="1" applyAlignment="1">
      <alignment horizontal="center" vertical="center"/>
    </xf>
    <xf numFmtId="0" fontId="16" fillId="0" borderId="295" xfId="0" applyNumberFormat="1" applyFont="1" applyBorder="1" applyAlignment="1">
      <alignment horizontal="center" vertical="center"/>
    </xf>
    <xf numFmtId="0" fontId="15" fillId="0" borderId="83" xfId="0" applyNumberFormat="1" applyFont="1" applyBorder="1" applyAlignment="1">
      <alignment horizontal="center" vertical="center"/>
    </xf>
    <xf numFmtId="0" fontId="15" fillId="0" borderId="7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st_summary" connectionId="1" xr16:uid="{BB588406-2980-5C4C-9B29-26F40E48F83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titled" connectionId="2" xr16:uid="{6D5F4026-3C95-5A49-91FB-ACA317E792B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E511-3FC8-A64B-9C47-A50A10F7D602}">
  <sheetPr>
    <outlinePr summaryBelow="0" summaryRight="0"/>
  </sheetPr>
  <dimension ref="A1:AU49"/>
  <sheetViews>
    <sheetView zoomScale="130" zoomScaleNormal="130" workbookViewId="0">
      <selection activeCell="A7" sqref="A7"/>
    </sheetView>
  </sheetViews>
  <sheetFormatPr baseColWidth="10" defaultColWidth="12.6640625" defaultRowHeight="15.75" customHeight="1" x14ac:dyDescent="0.15"/>
  <cols>
    <col min="1" max="1" width="43" customWidth="1"/>
    <col min="2" max="2" width="11.83203125" customWidth="1"/>
    <col min="3" max="3" width="15.5" customWidth="1"/>
    <col min="4" max="4" width="10.5" customWidth="1"/>
    <col min="5" max="5" width="12.5" customWidth="1"/>
    <col min="6" max="6" width="10" style="775" customWidth="1"/>
    <col min="7" max="7" width="15" customWidth="1"/>
    <col min="8" max="8" width="19.33203125" customWidth="1"/>
    <col min="9" max="9" width="14.6640625" customWidth="1"/>
    <col min="10" max="10" width="9" customWidth="1"/>
    <col min="11" max="11" width="10.6640625" customWidth="1"/>
    <col min="12" max="12" width="11.1640625" customWidth="1"/>
    <col min="13" max="13" width="16.83203125" customWidth="1"/>
    <col min="14" max="14" width="8" style="41" customWidth="1"/>
    <col min="15" max="15" width="8.1640625" style="41" customWidth="1"/>
    <col min="16" max="16" width="8.33203125" style="41" customWidth="1"/>
    <col min="17" max="18" width="7.83203125" style="41" customWidth="1"/>
    <col min="19" max="19" width="9.6640625" style="41" customWidth="1"/>
    <col min="20" max="20" width="8.1640625" style="41" customWidth="1"/>
    <col min="21" max="21" width="9.5" customWidth="1"/>
    <col min="22" max="22" width="10.1640625" customWidth="1"/>
    <col min="23" max="23" width="5.6640625" customWidth="1"/>
    <col min="24" max="24" width="5.33203125" customWidth="1"/>
    <col min="25" max="25" width="6.33203125" customWidth="1"/>
    <col min="26" max="26" width="6.83203125" customWidth="1"/>
    <col min="27" max="27" width="8.6640625" customWidth="1"/>
    <col min="28" max="30" width="7" customWidth="1"/>
    <col min="31" max="31" width="11" customWidth="1"/>
    <col min="32" max="32" width="4" bestFit="1" customWidth="1"/>
    <col min="33" max="33" width="4.1640625" bestFit="1" customWidth="1"/>
    <col min="34" max="34" width="5.6640625" bestFit="1" customWidth="1"/>
    <col min="35" max="35" width="5.6640625" customWidth="1"/>
    <col min="36" max="36" width="5.1640625" bestFit="1" customWidth="1"/>
    <col min="37" max="37" width="4.1640625" bestFit="1" customWidth="1"/>
    <col min="38" max="38" width="6.1640625" bestFit="1" customWidth="1"/>
    <col min="39" max="39" width="4.1640625" bestFit="1" customWidth="1"/>
    <col min="40" max="40" width="4" bestFit="1" customWidth="1"/>
    <col min="41" max="41" width="5.1640625" bestFit="1" customWidth="1"/>
    <col min="42" max="42" width="5.33203125" bestFit="1" customWidth="1"/>
    <col min="43" max="43" width="4.1640625" bestFit="1" customWidth="1"/>
    <col min="44" max="44" width="5.1640625" bestFit="1" customWidth="1"/>
    <col min="45" max="45" width="6.1640625" bestFit="1" customWidth="1"/>
    <col min="46" max="46" width="5.83203125" style="744" bestFit="1" customWidth="1"/>
    <col min="47" max="47" width="12.6640625" style="41"/>
  </cols>
  <sheetData>
    <row r="1" spans="1:47" ht="31" customHeight="1" thickBot="1" x14ac:dyDescent="0.2">
      <c r="A1" s="552" t="s">
        <v>0</v>
      </c>
      <c r="B1" s="547" t="s">
        <v>1</v>
      </c>
      <c r="C1" s="431" t="s">
        <v>490</v>
      </c>
      <c r="D1" s="431" t="s">
        <v>488</v>
      </c>
      <c r="E1" s="431" t="s">
        <v>489</v>
      </c>
      <c r="F1" s="799" t="s">
        <v>604</v>
      </c>
      <c r="G1" s="526" t="s">
        <v>384</v>
      </c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30"/>
      <c r="W1" s="526" t="s">
        <v>378</v>
      </c>
      <c r="X1" s="527"/>
      <c r="Y1" s="527"/>
      <c r="Z1" s="527"/>
      <c r="AA1" s="527"/>
      <c r="AB1" s="526" t="s">
        <v>399</v>
      </c>
      <c r="AC1" s="528"/>
      <c r="AD1" s="529"/>
      <c r="AE1" s="547" t="s">
        <v>485</v>
      </c>
      <c r="AF1" s="797"/>
      <c r="AG1" s="797"/>
      <c r="AH1" s="797"/>
      <c r="AI1" s="797"/>
      <c r="AJ1" s="797"/>
      <c r="AK1" s="797"/>
      <c r="AL1" s="797"/>
      <c r="AM1" s="797"/>
      <c r="AN1" s="797"/>
      <c r="AO1" s="797"/>
      <c r="AP1" s="797"/>
      <c r="AQ1" s="797"/>
      <c r="AR1" s="797"/>
      <c r="AS1" s="797"/>
      <c r="AT1" s="797"/>
      <c r="AU1" s="798"/>
    </row>
    <row r="2" spans="1:47" ht="15" customHeight="1" thickBot="1" x14ac:dyDescent="0.25">
      <c r="A2" s="552"/>
      <c r="B2" s="548"/>
      <c r="C2" s="550"/>
      <c r="D2" s="432"/>
      <c r="E2" s="432"/>
      <c r="F2" s="800"/>
      <c r="G2" s="544" t="s">
        <v>2</v>
      </c>
      <c r="H2" s="103" t="s">
        <v>3</v>
      </c>
      <c r="I2" s="103" t="s">
        <v>4</v>
      </c>
      <c r="J2" s="440" t="s">
        <v>5</v>
      </c>
      <c r="K2" s="441"/>
      <c r="L2" s="442"/>
      <c r="M2" s="104" t="s">
        <v>367</v>
      </c>
      <c r="N2" s="394" t="s">
        <v>420</v>
      </c>
      <c r="O2" s="395"/>
      <c r="P2" s="395"/>
      <c r="Q2" s="396"/>
      <c r="R2" s="396"/>
      <c r="S2" s="396"/>
      <c r="T2" s="397"/>
      <c r="U2" s="443" t="s">
        <v>409</v>
      </c>
      <c r="V2" s="409" t="s">
        <v>408</v>
      </c>
      <c r="W2" s="412" t="s">
        <v>381</v>
      </c>
      <c r="X2" s="413"/>
      <c r="Y2" s="413"/>
      <c r="Z2" s="413"/>
      <c r="AA2" s="414"/>
      <c r="AB2" s="415" t="s">
        <v>400</v>
      </c>
      <c r="AC2" s="415" t="s">
        <v>401</v>
      </c>
      <c r="AD2" s="415" t="s">
        <v>402</v>
      </c>
      <c r="AE2" s="415" t="s">
        <v>592</v>
      </c>
      <c r="AF2" s="415" t="s">
        <v>596</v>
      </c>
      <c r="AG2" s="415" t="s">
        <v>597</v>
      </c>
      <c r="AH2" s="415" t="s">
        <v>595</v>
      </c>
      <c r="AI2" s="415" t="s">
        <v>594</v>
      </c>
      <c r="AJ2" s="415" t="s">
        <v>593</v>
      </c>
      <c r="AK2" s="415" t="s">
        <v>598</v>
      </c>
      <c r="AL2" s="415" t="s">
        <v>599</v>
      </c>
      <c r="AM2" s="415" t="s">
        <v>600</v>
      </c>
      <c r="AN2" s="415" t="s">
        <v>491</v>
      </c>
      <c r="AO2" s="415" t="s">
        <v>492</v>
      </c>
      <c r="AP2" s="415" t="s">
        <v>493</v>
      </c>
      <c r="AQ2" s="415" t="s">
        <v>601</v>
      </c>
      <c r="AR2" s="415" t="s">
        <v>602</v>
      </c>
      <c r="AS2" s="415" t="s">
        <v>603</v>
      </c>
      <c r="AT2" s="742" t="s">
        <v>494</v>
      </c>
      <c r="AU2" s="746" t="s">
        <v>549</v>
      </c>
    </row>
    <row r="3" spans="1:47" ht="14" customHeight="1" thickBot="1" x14ac:dyDescent="0.2">
      <c r="A3" s="552"/>
      <c r="B3" s="548"/>
      <c r="C3" s="550"/>
      <c r="D3" s="432"/>
      <c r="E3" s="432"/>
      <c r="F3" s="800"/>
      <c r="G3" s="545" t="s">
        <v>9</v>
      </c>
      <c r="H3" s="420" t="s">
        <v>10</v>
      </c>
      <c r="I3" s="420" t="s">
        <v>11</v>
      </c>
      <c r="J3" s="421" t="s">
        <v>12</v>
      </c>
      <c r="K3" s="422"/>
      <c r="L3" s="423"/>
      <c r="M3" s="424" t="s">
        <v>13</v>
      </c>
      <c r="N3" s="401" t="s">
        <v>421</v>
      </c>
      <c r="O3" s="402"/>
      <c r="P3" s="402"/>
      <c r="Q3" s="401" t="s">
        <v>422</v>
      </c>
      <c r="R3" s="402"/>
      <c r="S3" s="403"/>
      <c r="T3" s="407" t="s">
        <v>483</v>
      </c>
      <c r="U3" s="444"/>
      <c r="V3" s="410"/>
      <c r="W3" s="404" t="s">
        <v>380</v>
      </c>
      <c r="X3" s="403"/>
      <c r="Y3" s="404" t="s">
        <v>379</v>
      </c>
      <c r="Z3" s="403"/>
      <c r="AA3" s="405" t="s">
        <v>382</v>
      </c>
      <c r="AB3" s="416"/>
      <c r="AC3" s="416"/>
      <c r="AD3" s="416"/>
      <c r="AE3" s="739"/>
      <c r="AF3" s="739"/>
      <c r="AG3" s="739"/>
      <c r="AH3" s="739"/>
      <c r="AI3" s="739"/>
      <c r="AJ3" s="739"/>
      <c r="AK3" s="399"/>
      <c r="AL3" s="739"/>
      <c r="AM3" s="739"/>
      <c r="AN3" s="739"/>
      <c r="AO3" s="739"/>
      <c r="AP3" s="739"/>
      <c r="AQ3" s="739"/>
      <c r="AR3" s="739"/>
      <c r="AS3" s="739"/>
      <c r="AT3" s="743"/>
      <c r="AU3" s="747"/>
    </row>
    <row r="4" spans="1:47" ht="14" customHeight="1" thickBot="1" x14ac:dyDescent="0.2">
      <c r="A4" s="553"/>
      <c r="B4" s="549"/>
      <c r="C4" s="551"/>
      <c r="D4" s="433"/>
      <c r="E4" s="433"/>
      <c r="F4" s="801"/>
      <c r="G4" s="546"/>
      <c r="H4" s="419"/>
      <c r="I4" s="419"/>
      <c r="J4" s="576" t="s">
        <v>368</v>
      </c>
      <c r="K4" s="578" t="s">
        <v>369</v>
      </c>
      <c r="L4" s="577" t="s">
        <v>370</v>
      </c>
      <c r="M4" s="425"/>
      <c r="N4" s="576" t="s">
        <v>345</v>
      </c>
      <c r="O4" s="578" t="s">
        <v>344</v>
      </c>
      <c r="P4" s="577" t="s">
        <v>346</v>
      </c>
      <c r="Q4" s="576" t="s">
        <v>345</v>
      </c>
      <c r="R4" s="578" t="s">
        <v>344</v>
      </c>
      <c r="S4" s="577" t="s">
        <v>346</v>
      </c>
      <c r="T4" s="408"/>
      <c r="U4" s="445"/>
      <c r="V4" s="411"/>
      <c r="W4" s="78" t="s">
        <v>387</v>
      </c>
      <c r="X4" s="580" t="s">
        <v>388</v>
      </c>
      <c r="Y4" s="579" t="s">
        <v>387</v>
      </c>
      <c r="Z4" s="580" t="s">
        <v>388</v>
      </c>
      <c r="AA4" s="406"/>
      <c r="AB4" s="417"/>
      <c r="AC4" s="417"/>
      <c r="AD4" s="417"/>
      <c r="AE4" s="740"/>
      <c r="AF4" s="739"/>
      <c r="AG4" s="739"/>
      <c r="AH4" s="739"/>
      <c r="AI4" s="739"/>
      <c r="AJ4" s="739"/>
      <c r="AK4" s="399"/>
      <c r="AL4" s="739"/>
      <c r="AM4" s="739"/>
      <c r="AN4" s="739"/>
      <c r="AO4" s="739"/>
      <c r="AP4" s="739"/>
      <c r="AQ4" s="739"/>
      <c r="AR4" s="739"/>
      <c r="AS4" s="739"/>
      <c r="AT4" s="743"/>
      <c r="AU4" s="747"/>
    </row>
    <row r="5" spans="1:47" ht="13" x14ac:dyDescent="0.15">
      <c r="A5" s="721" t="s">
        <v>371</v>
      </c>
      <c r="B5" s="486" t="s">
        <v>359</v>
      </c>
      <c r="C5" s="588">
        <f>AVERAGE(AE5,G5,H5,I5,L5,M5,T5,AA5,AD5)</f>
        <v>76.859444444444435</v>
      </c>
      <c r="D5" s="110">
        <f>AVERAGE(G5,H5,I5,J5,M5,T5,W5,Y5,AB5,AC5)</f>
        <v>73.484999999999999</v>
      </c>
      <c r="E5" s="110">
        <f>AVERAGE(AA5,V5,AD5)</f>
        <v>72.86333333333333</v>
      </c>
      <c r="F5" s="802"/>
      <c r="G5" s="589">
        <v>93.66</v>
      </c>
      <c r="H5" s="588">
        <v>89</v>
      </c>
      <c r="I5" s="588">
        <v>74.599999999999994</v>
      </c>
      <c r="J5" s="646">
        <v>53.9</v>
      </c>
      <c r="K5" s="647">
        <v>56.16</v>
      </c>
      <c r="L5" s="585">
        <v>55.23</v>
      </c>
      <c r="M5" s="648">
        <v>88.73</v>
      </c>
      <c r="N5" s="649">
        <v>57</v>
      </c>
      <c r="O5" s="650">
        <v>78</v>
      </c>
      <c r="P5" s="651">
        <v>67.5</v>
      </c>
      <c r="Q5" s="652">
        <v>51.13</v>
      </c>
      <c r="R5" s="653">
        <v>56.39</v>
      </c>
      <c r="S5" s="654">
        <v>53.76</v>
      </c>
      <c r="T5" s="582">
        <f>AVERAGE(P5,S5)</f>
        <v>60.629999999999995</v>
      </c>
      <c r="U5" s="583">
        <f>AVERAGE(G5,H5,I5,J5,M5,T5)</f>
        <v>76.75333333333333</v>
      </c>
      <c r="V5" s="584">
        <f>AVERAGE(T5,M5,L5,I5,H5,G5)</f>
        <v>76.975000000000009</v>
      </c>
      <c r="W5" s="585">
        <v>29.3</v>
      </c>
      <c r="X5" s="586">
        <v>57.2</v>
      </c>
      <c r="Y5" s="585">
        <v>58.4</v>
      </c>
      <c r="Z5" s="586">
        <v>73.400000000000006</v>
      </c>
      <c r="AA5" s="587">
        <f t="shared" ref="AA5:AA6" si="0">AVERAGE(W5:Y5)</f>
        <v>48.300000000000004</v>
      </c>
      <c r="AB5" s="588">
        <v>95.5</v>
      </c>
      <c r="AC5" s="589">
        <v>91.13</v>
      </c>
      <c r="AD5" s="590">
        <f t="shared" ref="AD5" si="1">AVERAGE(AB5,AC5)</f>
        <v>93.314999999999998</v>
      </c>
      <c r="AE5" s="585">
        <v>88.27</v>
      </c>
      <c r="AF5" s="759">
        <v>94</v>
      </c>
      <c r="AG5" s="773">
        <v>92.3</v>
      </c>
      <c r="AH5" s="760">
        <v>90.7</v>
      </c>
      <c r="AI5" s="773">
        <v>89</v>
      </c>
      <c r="AJ5" s="760">
        <v>90.2</v>
      </c>
      <c r="AK5" s="760">
        <v>84.7</v>
      </c>
      <c r="AL5" s="773">
        <v>84.1</v>
      </c>
      <c r="AM5" s="760">
        <v>80.3</v>
      </c>
      <c r="AN5" s="773">
        <v>78.7</v>
      </c>
      <c r="AO5" s="760">
        <v>95</v>
      </c>
      <c r="AP5" s="760">
        <v>84.4</v>
      </c>
      <c r="AQ5" s="773">
        <v>86.6</v>
      </c>
      <c r="AR5" s="760">
        <v>91.3</v>
      </c>
      <c r="AS5" s="765">
        <v>88</v>
      </c>
      <c r="AT5" s="767">
        <v>12032</v>
      </c>
      <c r="AU5" s="108">
        <v>88.3</v>
      </c>
    </row>
    <row r="6" spans="1:47" ht="13" x14ac:dyDescent="0.15">
      <c r="A6" s="563" t="s">
        <v>374</v>
      </c>
      <c r="B6" s="539" t="s">
        <v>359</v>
      </c>
      <c r="C6" s="507">
        <f>AVERAGE(AE6,G6,H6,I6,L6,M6,T6,AA6,AD6)</f>
        <v>71.668518518518525</v>
      </c>
      <c r="D6" s="109">
        <f>AVERAGE(G6,H6,I6,J6,M6,T6,W6,Y6,AB6,AC6)</f>
        <v>68.419999999999987</v>
      </c>
      <c r="E6" s="109">
        <f>AVERAGE(AA6,V6,AD6)</f>
        <v>69.816666666666663</v>
      </c>
      <c r="F6" s="817"/>
      <c r="G6" s="726">
        <v>91.5</v>
      </c>
      <c r="H6" s="727">
        <v>83.2</v>
      </c>
      <c r="I6" s="727">
        <v>74.5</v>
      </c>
      <c r="J6" s="655">
        <v>33.9</v>
      </c>
      <c r="K6" s="656">
        <v>35.700000000000003</v>
      </c>
      <c r="L6" s="657">
        <v>34.9</v>
      </c>
      <c r="M6" s="658">
        <v>89</v>
      </c>
      <c r="N6" s="645">
        <v>37</v>
      </c>
      <c r="O6" s="659">
        <v>86</v>
      </c>
      <c r="P6" s="660">
        <v>61.5</v>
      </c>
      <c r="Q6" s="591">
        <v>21.1</v>
      </c>
      <c r="R6" s="657">
        <v>26.3</v>
      </c>
      <c r="S6" s="593">
        <v>23.7</v>
      </c>
      <c r="T6" s="591">
        <f>AVERAGE(P6,S6)</f>
        <v>42.6</v>
      </c>
      <c r="U6" s="507">
        <f>AVERAGE(G6,H6,I6,J6,M6,T6)</f>
        <v>69.11666666666666</v>
      </c>
      <c r="V6" s="592">
        <f>AVERAGE(T6,M6,L6,I6,H6,G6)</f>
        <v>69.283333333333331</v>
      </c>
      <c r="W6" s="591">
        <v>29</v>
      </c>
      <c r="X6" s="593">
        <v>58.9</v>
      </c>
      <c r="Y6" s="591">
        <v>56.3</v>
      </c>
      <c r="Z6" s="593">
        <v>71.8</v>
      </c>
      <c r="AA6" s="587">
        <f t="shared" si="0"/>
        <v>48.066666666666663</v>
      </c>
      <c r="AB6" s="507">
        <v>93.9</v>
      </c>
      <c r="AC6" s="587">
        <v>90.3</v>
      </c>
      <c r="AD6" s="587">
        <f t="shared" ref="AD6" si="2">AVERAGE(AB6,AC6)</f>
        <v>92.1</v>
      </c>
      <c r="AE6" s="756">
        <v>89.15</v>
      </c>
      <c r="AF6" s="772">
        <v>94.7</v>
      </c>
      <c r="AG6" s="222">
        <v>92.3</v>
      </c>
      <c r="AH6" s="222">
        <v>92.5</v>
      </c>
      <c r="AI6" s="195">
        <v>88.3</v>
      </c>
      <c r="AJ6" s="222">
        <v>91.6</v>
      </c>
      <c r="AK6" s="222">
        <v>88.1</v>
      </c>
      <c r="AL6" s="195">
        <v>82.5</v>
      </c>
      <c r="AM6" s="222">
        <v>80.599999999999994</v>
      </c>
      <c r="AN6" s="195">
        <v>78.599999999999994</v>
      </c>
      <c r="AO6" s="222">
        <v>96.2</v>
      </c>
      <c r="AP6" s="222">
        <v>86</v>
      </c>
      <c r="AQ6" s="195">
        <v>86.2</v>
      </c>
      <c r="AR6" s="222">
        <v>92.5</v>
      </c>
      <c r="AS6" s="774">
        <v>89.1</v>
      </c>
      <c r="AT6" s="768">
        <v>12032</v>
      </c>
      <c r="AU6" s="110">
        <v>89.2</v>
      </c>
    </row>
    <row r="7" spans="1:47" ht="13" x14ac:dyDescent="0.15">
      <c r="A7" s="563" t="s">
        <v>424</v>
      </c>
      <c r="B7" s="61" t="s">
        <v>360</v>
      </c>
      <c r="C7" s="507">
        <f>AVERAGE(AE7,G7,H7,I7,L7,M7,T7,AA7,AD7)</f>
        <v>69.610370370370376</v>
      </c>
      <c r="D7" s="143">
        <f>AVERAGE(G7,H7,I7,J7,M7,T7,W7,Y7,AB7,AC7)</f>
        <v>67.89</v>
      </c>
      <c r="E7" s="109">
        <f>AVERAGE(AA7,V7,AD7)</f>
        <v>70.422222222222231</v>
      </c>
      <c r="F7" s="802"/>
      <c r="G7" s="536">
        <v>88.8</v>
      </c>
      <c r="H7" s="293">
        <v>74.8</v>
      </c>
      <c r="I7" s="293">
        <v>74.099999999999994</v>
      </c>
      <c r="J7" s="661">
        <v>33.799999999999997</v>
      </c>
      <c r="K7" s="662">
        <v>36.6</v>
      </c>
      <c r="L7" s="520">
        <v>35.4</v>
      </c>
      <c r="M7" s="663">
        <v>83.5</v>
      </c>
      <c r="N7" s="664">
        <v>36</v>
      </c>
      <c r="O7" s="662">
        <v>77</v>
      </c>
      <c r="P7" s="665">
        <v>74.8</v>
      </c>
      <c r="Q7" s="522">
        <v>17.3</v>
      </c>
      <c r="R7" s="666">
        <v>20.3</v>
      </c>
      <c r="S7" s="667">
        <v>18.8</v>
      </c>
      <c r="T7" s="536">
        <f>AVERAGE(P7,S7)</f>
        <v>46.8</v>
      </c>
      <c r="U7" s="521">
        <f>AVERAGE(G7,H7,I7,J7,M7,T7)</f>
        <v>66.966666666666669</v>
      </c>
      <c r="V7" s="594">
        <f>AVERAGE(T7,M7,L7,I7,H7,G7)</f>
        <v>67.233333333333334</v>
      </c>
      <c r="W7" s="595">
        <v>34.6</v>
      </c>
      <c r="X7" s="596">
        <v>63.2</v>
      </c>
      <c r="Y7" s="595">
        <v>58.9</v>
      </c>
      <c r="Z7" s="596">
        <v>73.8</v>
      </c>
      <c r="AA7" s="597">
        <f t="shared" ref="AA7:AA42" si="3">AVERAGE(W7:Y7)</f>
        <v>52.233333333333341</v>
      </c>
      <c r="AB7" s="507">
        <v>94.2</v>
      </c>
      <c r="AC7" s="587">
        <v>89.4</v>
      </c>
      <c r="AD7" s="587">
        <f t="shared" ref="AD7:AD10" si="4">AVERAGE(AB7,AC7)</f>
        <v>91.800000000000011</v>
      </c>
      <c r="AE7" s="598">
        <v>79.06</v>
      </c>
      <c r="AF7" s="753">
        <v>89.5</v>
      </c>
      <c r="AG7" s="195">
        <v>83.8</v>
      </c>
      <c r="AH7" s="195">
        <v>77.8</v>
      </c>
      <c r="AI7" s="195">
        <v>82.9</v>
      </c>
      <c r="AJ7" s="195">
        <v>85.4</v>
      </c>
      <c r="AK7" s="195">
        <v>56.3</v>
      </c>
      <c r="AL7" s="195">
        <v>78.2</v>
      </c>
      <c r="AM7" s="195">
        <v>73.8</v>
      </c>
      <c r="AN7" s="195">
        <v>64.7</v>
      </c>
      <c r="AO7" s="195">
        <v>87.7</v>
      </c>
      <c r="AP7" s="195">
        <v>80.8</v>
      </c>
      <c r="AQ7" s="195">
        <v>82</v>
      </c>
      <c r="AR7" s="195">
        <v>81.599999999999994</v>
      </c>
      <c r="AS7" s="207">
        <v>86.2</v>
      </c>
      <c r="AT7" s="768">
        <v>12032</v>
      </c>
      <c r="AU7" s="109">
        <v>79.099999999999994</v>
      </c>
    </row>
    <row r="8" spans="1:47" ht="13" x14ac:dyDescent="0.15">
      <c r="A8" s="557" t="s">
        <v>487</v>
      </c>
      <c r="B8" s="285" t="s">
        <v>359</v>
      </c>
      <c r="C8" s="507">
        <f>AVERAGE(AE8,G8,H8,I8,L8,M8,T8,AA8,AD8)</f>
        <v>66.973333333333329</v>
      </c>
      <c r="D8" s="143">
        <f>AVERAGE(G8,H8,I8,J8,M8,T8,W8,Y8,AB8,AC8)</f>
        <v>65.028999999999996</v>
      </c>
      <c r="E8" s="143">
        <f>AVERAGE(AA8,V8,AD8)</f>
        <v>67.475555555555545</v>
      </c>
      <c r="F8" s="802"/>
      <c r="G8" s="728">
        <v>88.63</v>
      </c>
      <c r="H8" s="292">
        <v>61.4</v>
      </c>
      <c r="I8" s="292">
        <v>70.7</v>
      </c>
      <c r="J8" s="617">
        <v>33.67</v>
      </c>
      <c r="K8" s="671">
        <v>35.090000000000003</v>
      </c>
      <c r="L8" s="598">
        <v>34.51</v>
      </c>
      <c r="M8" s="670">
        <v>87.09</v>
      </c>
      <c r="N8" s="617">
        <v>36</v>
      </c>
      <c r="O8" s="671">
        <v>83</v>
      </c>
      <c r="P8" s="635">
        <v>59.5</v>
      </c>
      <c r="Q8" s="598">
        <v>19.55</v>
      </c>
      <c r="R8" s="668">
        <v>23.3</v>
      </c>
      <c r="S8" s="599">
        <v>21.4</v>
      </c>
      <c r="T8" s="598">
        <f t="shared" ref="T8:T10" si="5">AVERAGE(P8,S8)</f>
        <v>40.450000000000003</v>
      </c>
      <c r="U8" s="293">
        <f t="shared" ref="U8:U10" si="6">AVERAGE(G8,H8,I8,J8,M8,T8)</f>
        <v>63.656666666666666</v>
      </c>
      <c r="V8" s="594">
        <f t="shared" ref="V8:V10" si="7">AVERAGE(T8,M8,L8,I8,H8,G8)</f>
        <v>63.79666666666666</v>
      </c>
      <c r="W8" s="598">
        <v>27.68</v>
      </c>
      <c r="X8" s="599">
        <v>55.69</v>
      </c>
      <c r="Y8" s="294">
        <v>56.97</v>
      </c>
      <c r="Z8" s="599">
        <v>72.010000000000005</v>
      </c>
      <c r="AA8" s="598">
        <f t="shared" si="3"/>
        <v>46.78</v>
      </c>
      <c r="AB8" s="507">
        <v>94.05</v>
      </c>
      <c r="AC8" s="587">
        <v>89.65</v>
      </c>
      <c r="AD8" s="587">
        <f t="shared" si="4"/>
        <v>91.85</v>
      </c>
      <c r="AE8" s="598">
        <v>81.349999999999994</v>
      </c>
      <c r="AF8" s="753">
        <v>91.1</v>
      </c>
      <c r="AG8" s="195">
        <v>82.9</v>
      </c>
      <c r="AH8" s="195">
        <v>84.6</v>
      </c>
      <c r="AI8" s="195">
        <v>83.7</v>
      </c>
      <c r="AJ8" s="195">
        <v>85</v>
      </c>
      <c r="AK8" s="195">
        <v>67.400000000000006</v>
      </c>
      <c r="AL8" s="195">
        <v>78.5</v>
      </c>
      <c r="AM8" s="195">
        <v>72.7</v>
      </c>
      <c r="AN8" s="195">
        <v>68.8</v>
      </c>
      <c r="AO8" s="195">
        <v>91.1</v>
      </c>
      <c r="AP8" s="195">
        <v>78.8</v>
      </c>
      <c r="AQ8" s="195">
        <v>80.400000000000006</v>
      </c>
      <c r="AR8" s="195">
        <v>83.8</v>
      </c>
      <c r="AS8" s="207">
        <v>85.7</v>
      </c>
      <c r="AT8" s="768">
        <v>12032</v>
      </c>
      <c r="AU8" s="109">
        <v>81.3</v>
      </c>
    </row>
    <row r="9" spans="1:47" ht="13" x14ac:dyDescent="0.15">
      <c r="A9" s="557" t="s">
        <v>425</v>
      </c>
      <c r="B9" s="145" t="s">
        <v>360</v>
      </c>
      <c r="C9" s="507">
        <f>AVERAGE(AE9,G9,H9,I9,L9,M9,T9,AA9,AD9)</f>
        <v>63.921111111111109</v>
      </c>
      <c r="D9" s="143">
        <f>AVERAGE(G9,H9,I9,J9,M9,T9,W9,Y9,AB9,AC9)</f>
        <v>62.17</v>
      </c>
      <c r="E9" s="143">
        <f>AVERAGE(AA9,V9,AD9)</f>
        <v>65.961111111111109</v>
      </c>
      <c r="F9" s="802"/>
      <c r="G9" s="729">
        <v>86.6</v>
      </c>
      <c r="H9" s="292">
        <v>56.4</v>
      </c>
      <c r="I9" s="730">
        <v>70.400000000000006</v>
      </c>
      <c r="J9" s="672">
        <v>22.7</v>
      </c>
      <c r="K9" s="673">
        <v>22.7</v>
      </c>
      <c r="L9" s="307">
        <v>22.7</v>
      </c>
      <c r="M9" s="674">
        <v>83.7</v>
      </c>
      <c r="N9" s="617">
        <v>31</v>
      </c>
      <c r="O9" s="671">
        <v>88</v>
      </c>
      <c r="P9" s="635">
        <v>59.5</v>
      </c>
      <c r="Q9" s="598">
        <v>7.5</v>
      </c>
      <c r="R9" s="668">
        <v>9.8000000000000007</v>
      </c>
      <c r="S9" s="599">
        <v>8.6999999999999993</v>
      </c>
      <c r="T9" s="598">
        <f t="shared" si="5"/>
        <v>34.1</v>
      </c>
      <c r="U9" s="293">
        <f t="shared" si="6"/>
        <v>58.983333333333341</v>
      </c>
      <c r="V9" s="594">
        <f t="shared" si="7"/>
        <v>58.983333333333327</v>
      </c>
      <c r="W9" s="598">
        <v>28.3</v>
      </c>
      <c r="X9" s="600">
        <v>57.2</v>
      </c>
      <c r="Y9" s="294">
        <v>56.1</v>
      </c>
      <c r="Z9" s="599">
        <v>73.2</v>
      </c>
      <c r="AA9" s="598">
        <f t="shared" si="3"/>
        <v>47.199999999999996</v>
      </c>
      <c r="AB9" s="507">
        <v>94.1</v>
      </c>
      <c r="AC9" s="587">
        <v>89.3</v>
      </c>
      <c r="AD9" s="587">
        <f t="shared" si="4"/>
        <v>91.699999999999989</v>
      </c>
      <c r="AE9" s="757">
        <v>82.49</v>
      </c>
      <c r="AF9" s="753">
        <v>91.2</v>
      </c>
      <c r="AG9" s="195">
        <v>87.5</v>
      </c>
      <c r="AH9" s="195">
        <v>86.5</v>
      </c>
      <c r="AI9" s="195">
        <v>85.6</v>
      </c>
      <c r="AJ9" s="195">
        <v>87.9</v>
      </c>
      <c r="AK9" s="195">
        <v>69.2</v>
      </c>
      <c r="AL9" s="195">
        <v>80.400000000000006</v>
      </c>
      <c r="AM9" s="195">
        <v>73.8</v>
      </c>
      <c r="AN9" s="195">
        <v>67</v>
      </c>
      <c r="AO9" s="195">
        <v>90.9</v>
      </c>
      <c r="AP9" s="195">
        <v>80.5</v>
      </c>
      <c r="AQ9" s="195">
        <v>81</v>
      </c>
      <c r="AR9" s="195">
        <v>87.2</v>
      </c>
      <c r="AS9" s="207">
        <v>82.7</v>
      </c>
      <c r="AT9" s="768">
        <v>12032</v>
      </c>
      <c r="AU9" s="109">
        <v>82.6</v>
      </c>
    </row>
    <row r="10" spans="1:47" ht="14" thickBot="1" x14ac:dyDescent="0.2">
      <c r="A10" s="722" t="s">
        <v>19</v>
      </c>
      <c r="B10" s="492" t="s">
        <v>359</v>
      </c>
      <c r="C10" s="295">
        <f>AVERAGE(AE10,G10,H10,I10,L10,M10,T10,AA10,AD10)</f>
        <v>59.761740740740748</v>
      </c>
      <c r="D10" s="70">
        <f>AVERAGE(G10,H10,I10,J10,M10,T10,W10,Y10,AB10,AC10)</f>
        <v>57.864899999999992</v>
      </c>
      <c r="E10" s="70">
        <f>AVERAGE(AA10,V10,AD10)</f>
        <v>63.436055555555548</v>
      </c>
      <c r="F10" s="803"/>
      <c r="G10" s="731">
        <v>79</v>
      </c>
      <c r="H10" s="493">
        <v>51.6</v>
      </c>
      <c r="I10" s="493">
        <v>65.05</v>
      </c>
      <c r="J10" s="675">
        <v>12.2</v>
      </c>
      <c r="K10" s="676">
        <v>12.7</v>
      </c>
      <c r="L10" s="533">
        <v>12.5</v>
      </c>
      <c r="M10" s="677">
        <v>78.498999999999995</v>
      </c>
      <c r="N10" s="675">
        <v>30</v>
      </c>
      <c r="O10" s="676">
        <v>87</v>
      </c>
      <c r="P10" s="678">
        <v>58.5</v>
      </c>
      <c r="Q10" s="533">
        <v>4.5</v>
      </c>
      <c r="R10" s="679">
        <v>6</v>
      </c>
      <c r="S10" s="622">
        <v>5.3</v>
      </c>
      <c r="T10" s="533">
        <f t="shared" si="5"/>
        <v>31.9</v>
      </c>
      <c r="U10" s="496">
        <f t="shared" si="6"/>
        <v>53.041499999999985</v>
      </c>
      <c r="V10" s="601">
        <f t="shared" si="7"/>
        <v>53.091499999999996</v>
      </c>
      <c r="W10" s="533">
        <v>30.3</v>
      </c>
      <c r="X10" s="602">
        <v>60.2</v>
      </c>
      <c r="Y10" s="603">
        <v>48</v>
      </c>
      <c r="Z10" s="602">
        <v>67.099999999999994</v>
      </c>
      <c r="AA10" s="493">
        <f t="shared" si="3"/>
        <v>46.166666666666664</v>
      </c>
      <c r="AB10" s="604">
        <v>93.5</v>
      </c>
      <c r="AC10" s="605">
        <v>88.6</v>
      </c>
      <c r="AD10" s="605">
        <f t="shared" si="4"/>
        <v>91.05</v>
      </c>
      <c r="AE10" s="758">
        <v>82.09</v>
      </c>
      <c r="AF10" s="754">
        <v>91.2</v>
      </c>
      <c r="AG10" s="755">
        <v>87.8</v>
      </c>
      <c r="AH10" s="755">
        <v>87.9</v>
      </c>
      <c r="AI10" s="755">
        <v>85.1</v>
      </c>
      <c r="AJ10" s="755">
        <v>86</v>
      </c>
      <c r="AK10" s="755">
        <v>72.3</v>
      </c>
      <c r="AL10" s="755">
        <v>78</v>
      </c>
      <c r="AM10" s="755">
        <v>72.7</v>
      </c>
      <c r="AN10" s="755">
        <v>67.8</v>
      </c>
      <c r="AO10" s="755">
        <v>87.3</v>
      </c>
      <c r="AP10" s="755">
        <v>80</v>
      </c>
      <c r="AQ10" s="755">
        <v>78</v>
      </c>
      <c r="AR10" s="755">
        <v>86.7</v>
      </c>
      <c r="AS10" s="766">
        <v>83.2</v>
      </c>
      <c r="AT10" s="769">
        <v>12032</v>
      </c>
      <c r="AU10" s="253">
        <v>82.1</v>
      </c>
    </row>
    <row r="11" spans="1:47" ht="14" thickBot="1" x14ac:dyDescent="0.2">
      <c r="A11" s="554"/>
      <c r="B11" s="483"/>
      <c r="C11" s="543"/>
      <c r="D11" s="187"/>
      <c r="E11" s="485"/>
      <c r="F11" s="804"/>
      <c r="G11" s="531"/>
      <c r="H11" s="531"/>
      <c r="I11" s="531"/>
      <c r="J11" s="531"/>
      <c r="K11" s="531"/>
      <c r="L11" s="531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741"/>
      <c r="AG11" s="741"/>
      <c r="AH11" s="741"/>
      <c r="AI11" s="741"/>
      <c r="AJ11" s="741"/>
      <c r="AK11" s="741"/>
      <c r="AL11" s="741"/>
      <c r="AM11" s="741"/>
      <c r="AN11" s="741"/>
      <c r="AO11" s="741"/>
      <c r="AP11" s="741"/>
      <c r="AQ11" s="741"/>
      <c r="AR11" s="741"/>
      <c r="AS11" s="741"/>
      <c r="AT11" s="771"/>
      <c r="AU11" s="741"/>
    </row>
    <row r="12" spans="1:47" ht="13" x14ac:dyDescent="0.15">
      <c r="A12" s="555" t="s">
        <v>477</v>
      </c>
      <c r="B12" s="487" t="s">
        <v>21</v>
      </c>
      <c r="C12" s="505">
        <f>AVERAGE(AE12,G12,H12,I12,L12,M12,T12,AA12,AD12)</f>
        <v>62.827777777777783</v>
      </c>
      <c r="D12" s="108">
        <f>AVERAGE(G12,H12,I12,J12,M12,T12,W12,Y12,AB12,AC12)</f>
        <v>62.914999999999999</v>
      </c>
      <c r="E12" s="723">
        <f>AVERAGE(AA12,V12,AD12)</f>
        <v>66.311111111111117</v>
      </c>
      <c r="F12" s="805"/>
      <c r="G12" s="732">
        <v>75.5</v>
      </c>
      <c r="H12" s="489">
        <v>65.8</v>
      </c>
      <c r="I12" s="733">
        <v>67.099999999999994</v>
      </c>
      <c r="J12" s="680">
        <v>61.1</v>
      </c>
      <c r="K12" s="681">
        <v>63.6</v>
      </c>
      <c r="L12" s="607">
        <v>62.5</v>
      </c>
      <c r="M12" s="682">
        <v>77.8</v>
      </c>
      <c r="N12" s="609">
        <v>16</v>
      </c>
      <c r="O12" s="683">
        <v>85</v>
      </c>
      <c r="P12" s="684">
        <v>50.5</v>
      </c>
      <c r="Q12" s="607">
        <v>2.2999999999999998</v>
      </c>
      <c r="R12" s="683">
        <v>4.5</v>
      </c>
      <c r="S12" s="607">
        <v>3.4</v>
      </c>
      <c r="T12" s="489">
        <f t="shared" ref="T12:T42" si="8">AVERAGE(P12,S12)</f>
        <v>26.95</v>
      </c>
      <c r="U12" s="489">
        <v>60.550000000000004</v>
      </c>
      <c r="V12" s="606">
        <v>66.533333333333331</v>
      </c>
      <c r="W12" s="607">
        <v>26.4</v>
      </c>
      <c r="X12" s="608">
        <v>52.5</v>
      </c>
      <c r="Y12" s="609">
        <v>48.9</v>
      </c>
      <c r="Z12" s="610">
        <v>67.3</v>
      </c>
      <c r="AA12" s="611">
        <f t="shared" si="3"/>
        <v>42.6</v>
      </c>
      <c r="AB12" s="505">
        <v>92.2</v>
      </c>
      <c r="AC12" s="575">
        <v>87.4</v>
      </c>
      <c r="AD12" s="612">
        <v>89.800000000000011</v>
      </c>
      <c r="AE12" s="761">
        <v>57.4</v>
      </c>
      <c r="AF12" s="759">
        <v>78.2</v>
      </c>
      <c r="AG12" s="760">
        <v>56.5</v>
      </c>
      <c r="AH12" s="760">
        <v>47.7</v>
      </c>
      <c r="AI12" s="760">
        <v>63.2</v>
      </c>
      <c r="AJ12" s="760">
        <v>72</v>
      </c>
      <c r="AK12" s="760">
        <v>48</v>
      </c>
      <c r="AL12" s="760">
        <v>66.900000000000006</v>
      </c>
      <c r="AM12" s="760">
        <v>55.1</v>
      </c>
      <c r="AN12" s="760">
        <v>35.6</v>
      </c>
      <c r="AO12" s="760">
        <v>60.5</v>
      </c>
      <c r="AP12" s="760">
        <v>59.1</v>
      </c>
      <c r="AQ12" s="760">
        <v>59.5</v>
      </c>
      <c r="AR12" s="760">
        <v>49.1</v>
      </c>
      <c r="AS12" s="765">
        <v>72.400000000000006</v>
      </c>
      <c r="AT12" s="767">
        <v>12032</v>
      </c>
      <c r="AU12" s="108">
        <v>57.4</v>
      </c>
    </row>
    <row r="13" spans="1:47" ht="13" x14ac:dyDescent="0.15">
      <c r="A13" s="556" t="s">
        <v>476</v>
      </c>
      <c r="B13" s="148" t="s">
        <v>21</v>
      </c>
      <c r="C13" s="507">
        <f>AVERAGE(AE13,G13,H13,I13,L13,M13,T13,AA13,AD13)</f>
        <v>62.185925925925922</v>
      </c>
      <c r="D13" s="143">
        <f>AVERAGE(G13,H13,I13,J13,M13,T13,W13,Y13,AB13,AC13)</f>
        <v>62.355000000000004</v>
      </c>
      <c r="E13" s="724">
        <f>AVERAGE(AA13,V13,AD13)</f>
        <v>65.816666666666663</v>
      </c>
      <c r="F13" s="806"/>
      <c r="G13" s="734">
        <v>72.5</v>
      </c>
      <c r="H13" s="293">
        <v>63.4</v>
      </c>
      <c r="I13" s="735">
        <v>67.7</v>
      </c>
      <c r="J13" s="685">
        <v>62.4</v>
      </c>
      <c r="K13" s="686">
        <v>64.7</v>
      </c>
      <c r="L13" s="598">
        <v>63.7</v>
      </c>
      <c r="M13" s="687">
        <v>78.900000000000006</v>
      </c>
      <c r="N13" s="613">
        <v>18</v>
      </c>
      <c r="O13" s="688">
        <v>89</v>
      </c>
      <c r="P13" s="689">
        <v>53.5</v>
      </c>
      <c r="Q13" s="598">
        <v>3</v>
      </c>
      <c r="R13" s="688">
        <v>3.8</v>
      </c>
      <c r="S13" s="598">
        <v>3.4</v>
      </c>
      <c r="T13" s="293">
        <f t="shared" si="8"/>
        <v>28.45</v>
      </c>
      <c r="U13" s="581">
        <v>60.483333333333327</v>
      </c>
      <c r="V13" s="507">
        <v>66.61666666666666</v>
      </c>
      <c r="W13" s="598">
        <v>28.1</v>
      </c>
      <c r="X13" s="599">
        <v>53.5</v>
      </c>
      <c r="Y13" s="613">
        <v>44.5</v>
      </c>
      <c r="Z13" s="614">
        <v>64.3</v>
      </c>
      <c r="AA13" s="598">
        <f t="shared" si="3"/>
        <v>42.033333333333331</v>
      </c>
      <c r="AB13" s="615">
        <v>91</v>
      </c>
      <c r="AC13" s="616">
        <v>86.6</v>
      </c>
      <c r="AD13" s="616">
        <v>88.8</v>
      </c>
      <c r="AE13" s="187">
        <v>54.19</v>
      </c>
      <c r="AF13" s="753">
        <v>77.400000000000006</v>
      </c>
      <c r="AG13" s="195">
        <v>49</v>
      </c>
      <c r="AH13" s="195">
        <v>39.200000000000003</v>
      </c>
      <c r="AI13" s="195">
        <v>61.7</v>
      </c>
      <c r="AJ13" s="195">
        <v>69.3</v>
      </c>
      <c r="AK13" s="195">
        <v>40.4</v>
      </c>
      <c r="AL13" s="195">
        <v>64.5</v>
      </c>
      <c r="AM13" s="195">
        <v>54.1</v>
      </c>
      <c r="AN13" s="195">
        <v>41</v>
      </c>
      <c r="AO13" s="195">
        <v>53.9</v>
      </c>
      <c r="AP13" s="195">
        <v>56.2</v>
      </c>
      <c r="AQ13" s="195">
        <v>57.5</v>
      </c>
      <c r="AR13" s="195">
        <v>46</v>
      </c>
      <c r="AS13" s="207">
        <v>73.8</v>
      </c>
      <c r="AT13" s="768">
        <v>12032</v>
      </c>
      <c r="AU13" s="109">
        <v>54.2</v>
      </c>
    </row>
    <row r="14" spans="1:47" ht="13" x14ac:dyDescent="0.15">
      <c r="A14" s="557" t="s">
        <v>473</v>
      </c>
      <c r="B14" s="61" t="s">
        <v>21</v>
      </c>
      <c r="C14" s="507">
        <f>AVERAGE(AE14,G14,H14,I14,L14,M14,T14,AA14,AD14)</f>
        <v>62.160370370370373</v>
      </c>
      <c r="D14" s="143">
        <f>AVERAGE(G14,H14,I14,J14,M14,T14,W14,Y14,AB14,AC14)</f>
        <v>62.4</v>
      </c>
      <c r="E14" s="724">
        <f>AVERAGE(AA14,V14,AD14)</f>
        <v>65.858333333333334</v>
      </c>
      <c r="F14" s="806"/>
      <c r="G14" s="728">
        <v>76</v>
      </c>
      <c r="H14" s="292">
        <v>61.6</v>
      </c>
      <c r="I14" s="292">
        <v>68.25</v>
      </c>
      <c r="J14" s="617">
        <v>61.9</v>
      </c>
      <c r="K14" s="671">
        <v>64.8</v>
      </c>
      <c r="L14" s="598">
        <v>63.6</v>
      </c>
      <c r="M14" s="670">
        <v>75.7</v>
      </c>
      <c r="N14" s="617">
        <v>17</v>
      </c>
      <c r="O14" s="671">
        <v>84</v>
      </c>
      <c r="P14" s="635">
        <v>50.5</v>
      </c>
      <c r="Q14" s="598">
        <v>3.8</v>
      </c>
      <c r="R14" s="688">
        <v>7.5</v>
      </c>
      <c r="S14" s="598">
        <v>5.6</v>
      </c>
      <c r="T14" s="293">
        <f t="shared" si="8"/>
        <v>28.05</v>
      </c>
      <c r="U14" s="507">
        <v>60.074999999999996</v>
      </c>
      <c r="V14" s="592">
        <v>65.941666666666677</v>
      </c>
      <c r="W14" s="598">
        <v>27</v>
      </c>
      <c r="X14" s="599">
        <v>53.2</v>
      </c>
      <c r="Y14" s="613">
        <v>47.1</v>
      </c>
      <c r="Z14" s="614">
        <v>66.599999999999994</v>
      </c>
      <c r="AA14" s="598">
        <f t="shared" si="3"/>
        <v>42.433333333333337</v>
      </c>
      <c r="AB14" s="507">
        <v>91.5</v>
      </c>
      <c r="AC14" s="587">
        <v>86.9</v>
      </c>
      <c r="AD14" s="587">
        <v>89.2</v>
      </c>
      <c r="AE14" s="187">
        <v>54.61</v>
      </c>
      <c r="AF14" s="753">
        <v>77.099999999999994</v>
      </c>
      <c r="AG14" s="195">
        <v>48.8</v>
      </c>
      <c r="AH14" s="195">
        <v>40.1</v>
      </c>
      <c r="AI14" s="195">
        <v>62.2</v>
      </c>
      <c r="AJ14" s="195">
        <v>71</v>
      </c>
      <c r="AK14" s="195">
        <v>41.3</v>
      </c>
      <c r="AL14" s="195">
        <v>66.400000000000006</v>
      </c>
      <c r="AM14" s="195">
        <v>54.3</v>
      </c>
      <c r="AN14" s="195">
        <v>40.4</v>
      </c>
      <c r="AO14" s="195">
        <v>54.8</v>
      </c>
      <c r="AP14" s="195">
        <v>55.5</v>
      </c>
      <c r="AQ14" s="195">
        <v>60.3</v>
      </c>
      <c r="AR14" s="195">
        <v>45.8</v>
      </c>
      <c r="AS14" s="207">
        <v>72.7</v>
      </c>
      <c r="AT14" s="768">
        <v>12032</v>
      </c>
      <c r="AU14" s="109">
        <v>54.6</v>
      </c>
    </row>
    <row r="15" spans="1:47" ht="13" x14ac:dyDescent="0.15">
      <c r="A15" s="556" t="s">
        <v>474</v>
      </c>
      <c r="B15" s="376" t="s">
        <v>21</v>
      </c>
      <c r="C15" s="507">
        <f>AVERAGE(AE15,G15,H15,I15,L15,M15,T15,AA15,AD15)</f>
        <v>63.235185185185188</v>
      </c>
      <c r="D15" s="143">
        <f>AVERAGE(G15,H15,I15,J15,M15,T15,W15,Y15,AB15,AC15)</f>
        <v>61.595000000000006</v>
      </c>
      <c r="E15" s="724">
        <f>AVERAGE(AA15,V15,AD15)</f>
        <v>62.627777777777773</v>
      </c>
      <c r="F15" s="806"/>
      <c r="G15" s="536">
        <v>72.900000000000006</v>
      </c>
      <c r="H15" s="293">
        <v>67.2</v>
      </c>
      <c r="I15" s="293">
        <v>69.8</v>
      </c>
      <c r="J15" s="690">
        <v>62.4</v>
      </c>
      <c r="K15" s="691">
        <v>64.8</v>
      </c>
      <c r="L15" s="692">
        <v>63.8</v>
      </c>
      <c r="M15" s="693">
        <v>83.1</v>
      </c>
      <c r="N15" s="613">
        <v>11</v>
      </c>
      <c r="O15" s="688">
        <v>82</v>
      </c>
      <c r="P15" s="689">
        <v>46.5</v>
      </c>
      <c r="Q15" s="598">
        <v>6.8</v>
      </c>
      <c r="R15" s="688">
        <v>30.1</v>
      </c>
      <c r="S15" s="598">
        <v>18.399999999999999</v>
      </c>
      <c r="T15" s="293">
        <f t="shared" si="8"/>
        <v>32.450000000000003</v>
      </c>
      <c r="U15" s="109">
        <v>61.066666666666663</v>
      </c>
      <c r="V15" s="109">
        <v>67.216666666666654</v>
      </c>
      <c r="W15" s="598">
        <v>7.8</v>
      </c>
      <c r="X15" s="600">
        <v>44.3</v>
      </c>
      <c r="Y15" s="617">
        <v>41.1</v>
      </c>
      <c r="Z15" s="618">
        <v>63.1</v>
      </c>
      <c r="AA15" s="598">
        <f t="shared" si="3"/>
        <v>31.066666666666663</v>
      </c>
      <c r="AB15" s="615">
        <v>92</v>
      </c>
      <c r="AC15" s="616">
        <v>87.2</v>
      </c>
      <c r="AD15" s="616">
        <v>89.6</v>
      </c>
      <c r="AE15" s="187">
        <v>59.2</v>
      </c>
      <c r="AF15" s="753">
        <v>79.099999999999994</v>
      </c>
      <c r="AG15" s="195">
        <v>60.5</v>
      </c>
      <c r="AH15" s="195">
        <v>52.4</v>
      </c>
      <c r="AI15" s="195">
        <v>63.4</v>
      </c>
      <c r="AJ15" s="195">
        <v>72.3</v>
      </c>
      <c r="AK15" s="195">
        <v>50.3</v>
      </c>
      <c r="AL15" s="195">
        <v>63.8</v>
      </c>
      <c r="AM15" s="195">
        <v>54.6</v>
      </c>
      <c r="AN15" s="195">
        <v>37.799999999999997</v>
      </c>
      <c r="AO15" s="195">
        <v>63.1</v>
      </c>
      <c r="AP15" s="195">
        <v>59.1</v>
      </c>
      <c r="AQ15" s="195">
        <v>59.3</v>
      </c>
      <c r="AR15" s="195">
        <v>55</v>
      </c>
      <c r="AS15" s="207">
        <v>71.900000000000006</v>
      </c>
      <c r="AT15" s="768">
        <v>12032</v>
      </c>
      <c r="AU15" s="109">
        <v>59.2</v>
      </c>
    </row>
    <row r="16" spans="1:47" ht="13" x14ac:dyDescent="0.15">
      <c r="A16" s="558" t="s">
        <v>475</v>
      </c>
      <c r="B16" s="234" t="s">
        <v>21</v>
      </c>
      <c r="C16" s="507">
        <f>AVERAGE(AE16,G16,H16,I16,L16,M16,T16,AA16,AD16)</f>
        <v>63.717777777777783</v>
      </c>
      <c r="D16" s="143">
        <f>AVERAGE(G16,H16,I16,J16,M16,T16,W16,Y16,AB16,AC16)</f>
        <v>61.719999999999992</v>
      </c>
      <c r="E16" s="143">
        <f>AVERAGE(AA16,V16,AD16)</f>
        <v>62.022222222222219</v>
      </c>
      <c r="F16" s="807"/>
      <c r="G16" s="537">
        <v>75.400000000000006</v>
      </c>
      <c r="H16" s="521">
        <v>63.4</v>
      </c>
      <c r="I16" s="521">
        <v>69</v>
      </c>
      <c r="J16" s="664">
        <v>60.2</v>
      </c>
      <c r="K16" s="662">
        <v>64.8</v>
      </c>
      <c r="L16" s="522">
        <v>62.9</v>
      </c>
      <c r="M16" s="663">
        <v>83.5</v>
      </c>
      <c r="N16" s="664">
        <v>13</v>
      </c>
      <c r="O16" s="662">
        <v>81</v>
      </c>
      <c r="P16" s="665">
        <v>47</v>
      </c>
      <c r="Q16" s="522">
        <v>12.8</v>
      </c>
      <c r="R16" s="662">
        <v>60.9</v>
      </c>
      <c r="S16" s="522">
        <v>36.799999999999997</v>
      </c>
      <c r="T16" s="521">
        <f t="shared" si="8"/>
        <v>41.9</v>
      </c>
      <c r="U16" s="507">
        <v>60.75</v>
      </c>
      <c r="V16" s="592">
        <v>66.86666666666666</v>
      </c>
      <c r="W16" s="522">
        <v>8.4</v>
      </c>
      <c r="X16" s="619">
        <v>44.4</v>
      </c>
      <c r="Y16" s="620">
        <v>36.6</v>
      </c>
      <c r="Z16" s="621">
        <v>60.9</v>
      </c>
      <c r="AA16" s="598">
        <f t="shared" si="3"/>
        <v>29.8</v>
      </c>
      <c r="AB16" s="507">
        <v>91.9</v>
      </c>
      <c r="AC16" s="587">
        <v>86.9</v>
      </c>
      <c r="AD16" s="587">
        <v>89.4</v>
      </c>
      <c r="AE16" s="762">
        <v>58.16</v>
      </c>
      <c r="AF16" s="753">
        <v>79.900000000000006</v>
      </c>
      <c r="AG16" s="195">
        <v>59.7</v>
      </c>
      <c r="AH16" s="195">
        <v>50.8</v>
      </c>
      <c r="AI16" s="195">
        <v>64.900000000000006</v>
      </c>
      <c r="AJ16" s="195">
        <v>71.7</v>
      </c>
      <c r="AK16" s="195">
        <v>50.3</v>
      </c>
      <c r="AL16" s="195">
        <v>63.9</v>
      </c>
      <c r="AM16" s="195">
        <v>54.6</v>
      </c>
      <c r="AN16" s="195">
        <v>35.299999999999997</v>
      </c>
      <c r="AO16" s="195">
        <v>60.9</v>
      </c>
      <c r="AP16" s="195">
        <v>58.5</v>
      </c>
      <c r="AQ16" s="195">
        <v>58.1</v>
      </c>
      <c r="AR16" s="195">
        <v>52.3</v>
      </c>
      <c r="AS16" s="207">
        <v>71.2</v>
      </c>
      <c r="AT16" s="768">
        <v>12032</v>
      </c>
      <c r="AU16" s="109">
        <v>58.2</v>
      </c>
    </row>
    <row r="17" spans="1:47" ht="14" thickBot="1" x14ac:dyDescent="0.2">
      <c r="A17" s="559" t="s">
        <v>413</v>
      </c>
      <c r="B17" s="495" t="s">
        <v>358</v>
      </c>
      <c r="C17" s="295">
        <f>AVERAGE(AE17,G17,H17,I17,L17,M17,T17,AA17,AD17)</f>
        <v>49.305555555555557</v>
      </c>
      <c r="D17" s="70">
        <f>AVERAGE(G17,H17,I17,J17,M17,T17,W17,Y17,AB17,AC17)</f>
        <v>49.61</v>
      </c>
      <c r="E17" s="70">
        <f>AVERAGE(AA17,V17,AD17)</f>
        <v>58.972222222222229</v>
      </c>
      <c r="F17" s="803"/>
      <c r="G17" s="538">
        <v>52.9</v>
      </c>
      <c r="H17" s="496">
        <v>18.2</v>
      </c>
      <c r="I17" s="496">
        <v>59.5</v>
      </c>
      <c r="J17" s="623">
        <v>7.4</v>
      </c>
      <c r="K17" s="694">
        <v>7.7</v>
      </c>
      <c r="L17" s="679">
        <v>7.6</v>
      </c>
      <c r="M17" s="695">
        <v>78.8</v>
      </c>
      <c r="N17" s="623">
        <v>16</v>
      </c>
      <c r="O17" s="694">
        <v>80</v>
      </c>
      <c r="P17" s="696">
        <v>48</v>
      </c>
      <c r="Q17" s="533">
        <v>1</v>
      </c>
      <c r="R17" s="694">
        <v>3</v>
      </c>
      <c r="S17" s="533">
        <v>2</v>
      </c>
      <c r="T17" s="496">
        <f t="shared" si="8"/>
        <v>25</v>
      </c>
      <c r="U17" s="70">
        <f>AVERAGE(G17,H17,I17,J17,M17,N17)</f>
        <v>38.800000000000004</v>
      </c>
      <c r="V17" s="70">
        <f>AVERAGE(P17,M17,L17,I17,H17,G17)</f>
        <v>44.166666666666664</v>
      </c>
      <c r="W17" s="533">
        <v>24.1</v>
      </c>
      <c r="X17" s="622">
        <v>53.8</v>
      </c>
      <c r="Y17" s="623">
        <v>49.9</v>
      </c>
      <c r="Z17" s="624">
        <v>69.099999999999994</v>
      </c>
      <c r="AA17" s="493">
        <f t="shared" si="3"/>
        <v>42.6</v>
      </c>
      <c r="AB17" s="496">
        <v>92.6</v>
      </c>
      <c r="AC17" s="538">
        <v>87.7</v>
      </c>
      <c r="AD17" s="538">
        <f t="shared" ref="AD17" si="9">AVERAGE(AB17,AC17)</f>
        <v>90.15</v>
      </c>
      <c r="AE17" s="541">
        <v>69</v>
      </c>
      <c r="AF17" s="754">
        <v>84.4</v>
      </c>
      <c r="AG17" s="755">
        <v>75.2</v>
      </c>
      <c r="AH17" s="755">
        <v>70.400000000000006</v>
      </c>
      <c r="AI17" s="755">
        <v>73.900000000000006</v>
      </c>
      <c r="AJ17" s="755">
        <v>77.5</v>
      </c>
      <c r="AK17" s="755">
        <v>55.2</v>
      </c>
      <c r="AL17" s="755">
        <v>70.900000000000006</v>
      </c>
      <c r="AM17" s="755">
        <v>58.3</v>
      </c>
      <c r="AN17" s="755">
        <v>44.3</v>
      </c>
      <c r="AO17" s="755">
        <v>79.099999999999994</v>
      </c>
      <c r="AP17" s="755">
        <v>66.099999999999994</v>
      </c>
      <c r="AQ17" s="755">
        <v>59.9</v>
      </c>
      <c r="AR17" s="755">
        <v>72.3</v>
      </c>
      <c r="AS17" s="766">
        <v>76.3</v>
      </c>
      <c r="AT17" s="769">
        <v>12032</v>
      </c>
      <c r="AU17" s="253">
        <v>69</v>
      </c>
    </row>
    <row r="18" spans="1:47" ht="14" thickBot="1" x14ac:dyDescent="0.2">
      <c r="A18" s="560"/>
      <c r="B18" s="498"/>
      <c r="C18" s="542"/>
      <c r="D18" s="541"/>
      <c r="E18" s="532"/>
      <c r="F18" s="808"/>
      <c r="G18" s="533"/>
      <c r="H18" s="540"/>
      <c r="I18" s="533"/>
      <c r="J18" s="697"/>
      <c r="K18" s="625"/>
      <c r="L18" s="531"/>
      <c r="M18" s="533"/>
      <c r="N18" s="531"/>
      <c r="O18" s="625"/>
      <c r="P18" s="531"/>
      <c r="Q18" s="533"/>
      <c r="R18" s="625"/>
      <c r="S18" s="531"/>
      <c r="T18" s="531"/>
      <c r="U18" s="532"/>
      <c r="V18" s="187"/>
      <c r="W18" s="531"/>
      <c r="X18" s="625"/>
      <c r="Y18" s="625"/>
      <c r="Z18" s="625"/>
      <c r="AA18" s="531"/>
      <c r="AB18" s="533"/>
      <c r="AC18" s="626"/>
      <c r="AD18" s="627"/>
      <c r="AE18" s="485"/>
      <c r="AF18" s="741"/>
      <c r="AG18" s="741"/>
      <c r="AH18" s="741"/>
      <c r="AI18" s="741"/>
      <c r="AJ18" s="741"/>
      <c r="AK18" s="741"/>
      <c r="AL18" s="741"/>
      <c r="AM18" s="741"/>
      <c r="AN18" s="741"/>
      <c r="AO18" s="741"/>
      <c r="AP18" s="741"/>
      <c r="AQ18" s="741"/>
      <c r="AR18" s="741"/>
      <c r="AS18" s="741"/>
      <c r="AT18" s="771"/>
      <c r="AU18" s="741"/>
    </row>
    <row r="19" spans="1:47" ht="13" x14ac:dyDescent="0.15">
      <c r="A19" s="555" t="s">
        <v>486</v>
      </c>
      <c r="B19" s="487" t="s">
        <v>21</v>
      </c>
      <c r="C19" s="505">
        <f>AVERAGE(AE19,G19,H19,I19,L19,M19,T19,AA19,AD19)</f>
        <v>60.595925925925926</v>
      </c>
      <c r="D19" s="108">
        <v>60.885000000000005</v>
      </c>
      <c r="E19" s="108">
        <v>63.391666666666673</v>
      </c>
      <c r="F19" s="809"/>
      <c r="G19" s="535">
        <v>74.5</v>
      </c>
      <c r="H19" s="736">
        <v>58.6</v>
      </c>
      <c r="I19" s="737">
        <v>68.5</v>
      </c>
      <c r="J19" s="609">
        <v>48.7</v>
      </c>
      <c r="K19" s="683">
        <v>51</v>
      </c>
      <c r="L19" s="607">
        <v>50.1</v>
      </c>
      <c r="M19" s="698">
        <v>85</v>
      </c>
      <c r="N19" s="699">
        <v>14</v>
      </c>
      <c r="O19" s="607">
        <v>80</v>
      </c>
      <c r="P19" s="684">
        <v>47</v>
      </c>
      <c r="Q19" s="628">
        <v>2.2999999999999998</v>
      </c>
      <c r="R19" s="700">
        <v>7.5</v>
      </c>
      <c r="S19" s="701">
        <v>4.9000000000000004</v>
      </c>
      <c r="T19" s="489">
        <v>25.95</v>
      </c>
      <c r="U19" s="489">
        <v>60.208333333333336</v>
      </c>
      <c r="V19" s="530">
        <v>60.44166666666667</v>
      </c>
      <c r="W19" s="628">
        <v>22.5</v>
      </c>
      <c r="X19" s="535">
        <v>53</v>
      </c>
      <c r="Y19" s="609">
        <v>47.9</v>
      </c>
      <c r="Z19" s="610">
        <v>68.099999999999994</v>
      </c>
      <c r="AA19" s="530">
        <f t="shared" si="3"/>
        <v>41.133333333333333</v>
      </c>
      <c r="AB19" s="612">
        <v>91</v>
      </c>
      <c r="AC19" s="612">
        <v>86.2</v>
      </c>
      <c r="AD19" s="629">
        <v>88.6</v>
      </c>
      <c r="AE19" s="698">
        <v>52.98</v>
      </c>
      <c r="AF19" s="751">
        <v>80.599999999999994</v>
      </c>
      <c r="AG19" s="752">
        <v>43.2</v>
      </c>
      <c r="AH19" s="752">
        <v>40.5</v>
      </c>
      <c r="AI19" s="752">
        <v>55.4</v>
      </c>
      <c r="AJ19" s="752">
        <v>69.3</v>
      </c>
      <c r="AK19" s="752">
        <v>47.5</v>
      </c>
      <c r="AL19" s="752">
        <v>63.8</v>
      </c>
      <c r="AM19" s="752">
        <v>61.7</v>
      </c>
      <c r="AN19" s="752">
        <v>36.6</v>
      </c>
      <c r="AO19" s="752">
        <v>49.5</v>
      </c>
      <c r="AP19" s="752">
        <v>52.3</v>
      </c>
      <c r="AQ19" s="752">
        <v>53.5</v>
      </c>
      <c r="AR19" s="752">
        <v>44.6</v>
      </c>
      <c r="AS19" s="763">
        <v>70.900000000000006</v>
      </c>
      <c r="AT19" s="770">
        <v>12032</v>
      </c>
      <c r="AU19" s="108">
        <v>53</v>
      </c>
    </row>
    <row r="20" spans="1:47" ht="13" x14ac:dyDescent="0.15">
      <c r="A20" s="556" t="s">
        <v>484</v>
      </c>
      <c r="B20" s="148" t="s">
        <v>21</v>
      </c>
      <c r="C20" s="507">
        <f>AVERAGE(AE20,G20,H20,I20,L20,M20,T20,AA20,AD20)</f>
        <v>59.088148148148143</v>
      </c>
      <c r="D20" s="143">
        <v>59</v>
      </c>
      <c r="E20" s="143">
        <v>62.316666666666663</v>
      </c>
      <c r="F20" s="802"/>
      <c r="G20" s="734">
        <v>63.3</v>
      </c>
      <c r="H20" s="293">
        <v>52.8</v>
      </c>
      <c r="I20" s="293">
        <v>63</v>
      </c>
      <c r="J20" s="702">
        <v>48.9</v>
      </c>
      <c r="K20" s="686">
        <v>52.4</v>
      </c>
      <c r="L20" s="598">
        <v>50.9</v>
      </c>
      <c r="M20" s="687">
        <v>83.6</v>
      </c>
      <c r="N20" s="598">
        <v>16</v>
      </c>
      <c r="O20" s="688">
        <v>82</v>
      </c>
      <c r="P20" s="689">
        <v>49</v>
      </c>
      <c r="Q20" s="598">
        <v>6</v>
      </c>
      <c r="R20" s="307">
        <v>19.600000000000001</v>
      </c>
      <c r="S20" s="669">
        <v>12.8</v>
      </c>
      <c r="T20" s="293">
        <v>30.9</v>
      </c>
      <c r="U20" s="293">
        <v>57.083333333333336</v>
      </c>
      <c r="V20" s="594">
        <v>57.416666666666664</v>
      </c>
      <c r="W20" s="598">
        <v>21.5</v>
      </c>
      <c r="X20" s="618">
        <v>52.3</v>
      </c>
      <c r="Y20" s="617">
        <v>48.4</v>
      </c>
      <c r="Z20" s="614">
        <v>68.5</v>
      </c>
      <c r="AA20" s="598">
        <f t="shared" si="3"/>
        <v>40.733333333333327</v>
      </c>
      <c r="AB20" s="521">
        <v>91.2</v>
      </c>
      <c r="AC20" s="587">
        <v>86.4</v>
      </c>
      <c r="AD20" s="591">
        <v>88.800000000000011</v>
      </c>
      <c r="AE20" s="748">
        <v>57.76</v>
      </c>
      <c r="AF20" s="753">
        <v>80.5</v>
      </c>
      <c r="AG20" s="195">
        <v>59.8</v>
      </c>
      <c r="AH20" s="195">
        <v>54.3</v>
      </c>
      <c r="AI20" s="195">
        <v>59.3</v>
      </c>
      <c r="AJ20" s="195">
        <v>69.8</v>
      </c>
      <c r="AK20" s="195">
        <v>47.9</v>
      </c>
      <c r="AL20" s="195">
        <v>63.7</v>
      </c>
      <c r="AM20" s="195">
        <v>53.8</v>
      </c>
      <c r="AN20" s="195">
        <v>33.299999999999997</v>
      </c>
      <c r="AO20" s="195">
        <v>62.8</v>
      </c>
      <c r="AP20" s="195">
        <v>56</v>
      </c>
      <c r="AQ20" s="195">
        <v>52.1</v>
      </c>
      <c r="AR20" s="195">
        <v>56</v>
      </c>
      <c r="AS20" s="207">
        <v>68.2</v>
      </c>
      <c r="AT20" s="768">
        <v>12032</v>
      </c>
      <c r="AU20" s="109">
        <v>57.8</v>
      </c>
    </row>
    <row r="21" spans="1:47" ht="13" x14ac:dyDescent="0.15">
      <c r="A21" s="556" t="s">
        <v>480</v>
      </c>
      <c r="B21" s="376" t="s">
        <v>21</v>
      </c>
      <c r="C21" s="507">
        <f>AVERAGE(AE21,G21,H21,I21,L21,M21,T21,AA21,AD21)</f>
        <v>59.962148148148152</v>
      </c>
      <c r="D21" s="143">
        <v>58.875</v>
      </c>
      <c r="E21" s="724">
        <v>60.63055555555556</v>
      </c>
      <c r="F21" s="806"/>
      <c r="G21" s="536">
        <v>67.400000000000006</v>
      </c>
      <c r="H21" s="293">
        <v>54.4</v>
      </c>
      <c r="I21" s="293">
        <v>68.900000000000006</v>
      </c>
      <c r="J21" s="613">
        <v>53.7</v>
      </c>
      <c r="K21" s="688">
        <v>56.2</v>
      </c>
      <c r="L21" s="598">
        <v>55.2</v>
      </c>
      <c r="M21" s="693">
        <v>81.400000000000006</v>
      </c>
      <c r="N21" s="598">
        <v>21</v>
      </c>
      <c r="O21" s="688">
        <v>80</v>
      </c>
      <c r="P21" s="689">
        <v>50.5</v>
      </c>
      <c r="Q21" s="598">
        <v>6.8</v>
      </c>
      <c r="R21" s="307">
        <v>17.3</v>
      </c>
      <c r="S21" s="669">
        <v>12</v>
      </c>
      <c r="T21" s="293">
        <v>31.25</v>
      </c>
      <c r="U21" s="293">
        <v>59.508333333333347</v>
      </c>
      <c r="V21" s="594">
        <v>59.758333333333347</v>
      </c>
      <c r="W21" s="598">
        <v>10.5</v>
      </c>
      <c r="X21" s="618">
        <v>45.3</v>
      </c>
      <c r="Y21" s="617">
        <v>42.4</v>
      </c>
      <c r="Z21" s="614">
        <v>64.099999999999994</v>
      </c>
      <c r="AA21" s="598">
        <f t="shared" si="3"/>
        <v>32.733333333333327</v>
      </c>
      <c r="AB21" s="295">
        <v>91.9</v>
      </c>
      <c r="AC21" s="503">
        <v>86.9</v>
      </c>
      <c r="AD21" s="531">
        <v>89.4</v>
      </c>
      <c r="AE21" s="748">
        <v>58.975999999999999</v>
      </c>
      <c r="AF21" s="753">
        <v>78</v>
      </c>
      <c r="AG21" s="195">
        <v>62</v>
      </c>
      <c r="AH21" s="195">
        <v>56.2</v>
      </c>
      <c r="AI21" s="195">
        <v>58.8</v>
      </c>
      <c r="AJ21" s="195">
        <v>71.3</v>
      </c>
      <c r="AK21" s="195">
        <v>53.6</v>
      </c>
      <c r="AL21" s="195">
        <v>65.3</v>
      </c>
      <c r="AM21" s="195">
        <v>54.3</v>
      </c>
      <c r="AN21" s="195">
        <v>34.700000000000003</v>
      </c>
      <c r="AO21" s="195">
        <v>64.400000000000006</v>
      </c>
      <c r="AP21" s="195">
        <v>55.8</v>
      </c>
      <c r="AQ21" s="195">
        <v>52.1</v>
      </c>
      <c r="AR21" s="195">
        <v>56.7</v>
      </c>
      <c r="AS21" s="207">
        <v>68.3</v>
      </c>
      <c r="AT21" s="768">
        <v>12032</v>
      </c>
      <c r="AU21" s="109">
        <v>59</v>
      </c>
    </row>
    <row r="22" spans="1:47" ht="13" x14ac:dyDescent="0.15">
      <c r="A22" s="556" t="s">
        <v>481</v>
      </c>
      <c r="B22" s="148" t="s">
        <v>21</v>
      </c>
      <c r="C22" s="507">
        <f>AVERAGE(AE22,G22,H22,I22,L22,M22,T22,AA22,AD22)</f>
        <v>59.35296296296297</v>
      </c>
      <c r="D22" s="143">
        <v>58.370000000000005</v>
      </c>
      <c r="E22" s="143">
        <v>60.322222222222223</v>
      </c>
      <c r="F22" s="802"/>
      <c r="G22" s="536">
        <v>66.3</v>
      </c>
      <c r="H22" s="293">
        <v>56.4</v>
      </c>
      <c r="I22" s="293">
        <v>68.3</v>
      </c>
      <c r="J22" s="613">
        <v>48</v>
      </c>
      <c r="K22" s="688">
        <v>51.4</v>
      </c>
      <c r="L22" s="598">
        <v>50</v>
      </c>
      <c r="M22" s="693">
        <v>79.400000000000006</v>
      </c>
      <c r="N22" s="598">
        <v>15</v>
      </c>
      <c r="O22" s="688">
        <v>79</v>
      </c>
      <c r="P22" s="689">
        <v>47</v>
      </c>
      <c r="Q22" s="598">
        <v>10.5</v>
      </c>
      <c r="R22" s="307">
        <v>28.6</v>
      </c>
      <c r="S22" s="669">
        <v>19.600000000000001</v>
      </c>
      <c r="T22" s="293">
        <v>33.299999999999997</v>
      </c>
      <c r="U22" s="293">
        <v>58.616666666666667</v>
      </c>
      <c r="V22" s="594">
        <v>58.949999999999996</v>
      </c>
      <c r="W22" s="598">
        <v>12</v>
      </c>
      <c r="X22" s="618">
        <v>45.5</v>
      </c>
      <c r="Y22" s="617">
        <v>42.9</v>
      </c>
      <c r="Z22" s="614">
        <v>64.7</v>
      </c>
      <c r="AA22" s="598">
        <f t="shared" si="3"/>
        <v>33.466666666666669</v>
      </c>
      <c r="AB22" s="295">
        <v>90.9</v>
      </c>
      <c r="AC22" s="616">
        <v>86.2</v>
      </c>
      <c r="AD22" s="531">
        <v>88.550000000000011</v>
      </c>
      <c r="AE22" s="748">
        <v>58.46</v>
      </c>
      <c r="AF22" s="753">
        <v>79.099999999999994</v>
      </c>
      <c r="AG22" s="195">
        <v>63.4</v>
      </c>
      <c r="AH22" s="195">
        <v>55.9</v>
      </c>
      <c r="AI22" s="195">
        <v>56.3</v>
      </c>
      <c r="AJ22" s="195">
        <v>70</v>
      </c>
      <c r="AK22" s="195">
        <v>50.4</v>
      </c>
      <c r="AL22" s="195">
        <v>62.8</v>
      </c>
      <c r="AM22" s="195">
        <v>55.6</v>
      </c>
      <c r="AN22" s="195">
        <v>34</v>
      </c>
      <c r="AO22" s="195">
        <v>63</v>
      </c>
      <c r="AP22" s="195">
        <v>55.4</v>
      </c>
      <c r="AQ22" s="195">
        <v>51.1</v>
      </c>
      <c r="AR22" s="195">
        <v>59.7</v>
      </c>
      <c r="AS22" s="207">
        <v>66.5</v>
      </c>
      <c r="AT22" s="768">
        <v>12032</v>
      </c>
      <c r="AU22" s="109">
        <v>58.5</v>
      </c>
    </row>
    <row r="23" spans="1:47" ht="13" x14ac:dyDescent="0.15">
      <c r="A23" s="561" t="s">
        <v>479</v>
      </c>
      <c r="B23" s="323" t="s">
        <v>21</v>
      </c>
      <c r="C23" s="507">
        <f>AVERAGE(AE23,G23,H23,I23,L23,M23,T23,AA23,AD23)</f>
        <v>59.457407407407409</v>
      </c>
      <c r="D23" s="143">
        <v>58.104999999999997</v>
      </c>
      <c r="E23" s="143">
        <v>59.469444444444456</v>
      </c>
      <c r="F23" s="807"/>
      <c r="G23" s="537">
        <v>61.1</v>
      </c>
      <c r="H23" s="521">
        <v>54.8</v>
      </c>
      <c r="I23" s="521">
        <v>67.3</v>
      </c>
      <c r="J23" s="664">
        <v>48.3</v>
      </c>
      <c r="K23" s="662">
        <v>52.2</v>
      </c>
      <c r="L23" s="522">
        <v>50.6</v>
      </c>
      <c r="M23" s="663">
        <v>84.2</v>
      </c>
      <c r="N23" s="664">
        <v>12</v>
      </c>
      <c r="O23" s="662">
        <v>79</v>
      </c>
      <c r="P23" s="665">
        <v>45.5</v>
      </c>
      <c r="Q23" s="522">
        <v>14.3</v>
      </c>
      <c r="R23" s="520">
        <v>54.1</v>
      </c>
      <c r="S23" s="703">
        <v>34.200000000000003</v>
      </c>
      <c r="T23" s="521">
        <v>39.85</v>
      </c>
      <c r="U23" s="521">
        <v>59.258333333333333</v>
      </c>
      <c r="V23" s="594">
        <v>59.641666666666673</v>
      </c>
      <c r="W23" s="522">
        <v>20.2</v>
      </c>
      <c r="X23" s="621">
        <v>51.6</v>
      </c>
      <c r="Y23" s="620">
        <v>46.9</v>
      </c>
      <c r="Z23" s="630">
        <v>67.2</v>
      </c>
      <c r="AA23" s="598">
        <f t="shared" si="3"/>
        <v>39.566666666666663</v>
      </c>
      <c r="AB23" s="507">
        <v>81.400000000000006</v>
      </c>
      <c r="AC23" s="587">
        <v>77</v>
      </c>
      <c r="AD23" s="587">
        <v>79.2</v>
      </c>
      <c r="AE23" s="749">
        <v>58.5</v>
      </c>
      <c r="AF23" s="753">
        <v>76</v>
      </c>
      <c r="AG23" s="195">
        <v>65</v>
      </c>
      <c r="AH23" s="195">
        <v>57.2</v>
      </c>
      <c r="AI23" s="195">
        <v>58.3</v>
      </c>
      <c r="AJ23" s="195">
        <v>69</v>
      </c>
      <c r="AK23" s="195">
        <v>48.7</v>
      </c>
      <c r="AL23" s="195">
        <v>63.8</v>
      </c>
      <c r="AM23" s="195">
        <v>51.4</v>
      </c>
      <c r="AN23" s="195">
        <v>33.200000000000003</v>
      </c>
      <c r="AO23" s="195">
        <v>64.599999999999994</v>
      </c>
      <c r="AP23" s="195">
        <v>57.3</v>
      </c>
      <c r="AQ23" s="195">
        <v>53.5</v>
      </c>
      <c r="AR23" s="195">
        <v>58.7</v>
      </c>
      <c r="AS23" s="207">
        <v>66</v>
      </c>
      <c r="AT23" s="768">
        <v>12032</v>
      </c>
      <c r="AU23" s="109">
        <v>58.5</v>
      </c>
    </row>
    <row r="24" spans="1:47" ht="14" thickBot="1" x14ac:dyDescent="0.2">
      <c r="A24" s="559" t="s">
        <v>478</v>
      </c>
      <c r="B24" s="495" t="s">
        <v>358</v>
      </c>
      <c r="C24" s="295">
        <f>AVERAGE(AE24,G24,H24,I24,L24,M24,T24,AA24,AD24)</f>
        <v>55.423333333333339</v>
      </c>
      <c r="D24" s="70">
        <f>AVERAGE(G24,H24,I24,J24,M24,T24,W24,Y24,AB24,AC24)</f>
        <v>54.927999999999997</v>
      </c>
      <c r="E24" s="70">
        <f>AVERAGE(AA24,V24,AD24)</f>
        <v>61.804444444444449</v>
      </c>
      <c r="F24" s="803"/>
      <c r="G24" s="538">
        <v>78.7</v>
      </c>
      <c r="H24" s="496">
        <v>27.2</v>
      </c>
      <c r="I24" s="496">
        <v>61.1</v>
      </c>
      <c r="J24" s="623">
        <v>5.2</v>
      </c>
      <c r="K24" s="694">
        <v>5.4</v>
      </c>
      <c r="L24" s="533">
        <v>5.3</v>
      </c>
      <c r="M24" s="695">
        <v>81.180000000000007</v>
      </c>
      <c r="N24" s="533">
        <v>21</v>
      </c>
      <c r="O24" s="704">
        <v>94</v>
      </c>
      <c r="P24" s="696">
        <v>57.5</v>
      </c>
      <c r="Q24" s="533">
        <v>0.8</v>
      </c>
      <c r="R24" s="679">
        <v>2.2999999999999998</v>
      </c>
      <c r="S24" s="705">
        <v>1.5</v>
      </c>
      <c r="T24" s="496">
        <f t="shared" ref="T24" si="10">AVERAGE(P24,S24)</f>
        <v>29.5</v>
      </c>
      <c r="U24" s="496">
        <f t="shared" ref="U24" si="11">AVERAGE(G24,H24,I24,J24,M24,T24)</f>
        <v>47.146666666666668</v>
      </c>
      <c r="V24" s="601">
        <f t="shared" ref="V24" si="12">AVERAGE(T24,M24,L24,I24,H24,G24)</f>
        <v>47.163333333333334</v>
      </c>
      <c r="W24" s="533">
        <v>31.6</v>
      </c>
      <c r="X24" s="624">
        <v>58.2</v>
      </c>
      <c r="Y24" s="623">
        <v>54.5</v>
      </c>
      <c r="Z24" s="624">
        <v>70.8</v>
      </c>
      <c r="AA24" s="493">
        <f t="shared" si="3"/>
        <v>48.1</v>
      </c>
      <c r="AB24" s="496">
        <v>92.5</v>
      </c>
      <c r="AC24" s="538">
        <v>87.8</v>
      </c>
      <c r="AD24" s="533">
        <f>AVERAGE(AB24,AC24)</f>
        <v>90.15</v>
      </c>
      <c r="AE24" s="750">
        <v>77.58</v>
      </c>
      <c r="AF24" s="754">
        <v>88.3</v>
      </c>
      <c r="AG24" s="755">
        <v>82</v>
      </c>
      <c r="AH24" s="755">
        <v>82.8</v>
      </c>
      <c r="AI24" s="755">
        <v>83.7</v>
      </c>
      <c r="AJ24" s="755">
        <v>84.7</v>
      </c>
      <c r="AK24" s="755">
        <v>58.7</v>
      </c>
      <c r="AL24" s="755">
        <v>75.8</v>
      </c>
      <c r="AM24" s="755">
        <v>65.599999999999994</v>
      </c>
      <c r="AN24" s="755">
        <v>56.1</v>
      </c>
      <c r="AO24" s="755">
        <v>90.9</v>
      </c>
      <c r="AP24" s="755">
        <v>74.8</v>
      </c>
      <c r="AQ24" s="755">
        <v>71.900000000000006</v>
      </c>
      <c r="AR24" s="755">
        <v>84.4</v>
      </c>
      <c r="AS24" s="766">
        <v>78.7</v>
      </c>
      <c r="AT24" s="769">
        <v>12032</v>
      </c>
      <c r="AU24" s="253">
        <v>77.599999999999994</v>
      </c>
    </row>
    <row r="25" spans="1:47" ht="14" thickBot="1" x14ac:dyDescent="0.2">
      <c r="A25" s="560"/>
      <c r="B25" s="498"/>
      <c r="C25" s="543"/>
      <c r="D25" s="541"/>
      <c r="E25" s="532"/>
      <c r="F25" s="808"/>
      <c r="G25" s="533"/>
      <c r="H25" s="540"/>
      <c r="I25" s="533"/>
      <c r="J25" s="697"/>
      <c r="K25" s="625"/>
      <c r="L25" s="531"/>
      <c r="M25" s="533"/>
      <c r="N25" s="531"/>
      <c r="O25" s="625"/>
      <c r="P25" s="706"/>
      <c r="Q25" s="531"/>
      <c r="R25" s="707"/>
      <c r="S25" s="708"/>
      <c r="T25" s="531"/>
      <c r="U25" s="295"/>
      <c r="V25" s="540"/>
      <c r="W25" s="531"/>
      <c r="X25" s="625"/>
      <c r="Y25" s="625"/>
      <c r="Z25" s="499"/>
      <c r="AA25" s="531"/>
      <c r="AB25" s="631"/>
      <c r="AC25" s="626"/>
      <c r="AD25" s="627"/>
      <c r="AE25" s="531"/>
      <c r="AF25" s="741"/>
      <c r="AG25" s="741"/>
      <c r="AH25" s="741"/>
      <c r="AI25" s="741"/>
      <c r="AJ25" s="741"/>
      <c r="AK25" s="741"/>
      <c r="AL25" s="741"/>
      <c r="AM25" s="741"/>
      <c r="AN25" s="741"/>
      <c r="AO25" s="741"/>
      <c r="AP25" s="741"/>
      <c r="AQ25" s="741"/>
      <c r="AR25" s="741"/>
      <c r="AS25" s="741"/>
      <c r="AT25" s="771"/>
      <c r="AU25" s="741"/>
    </row>
    <row r="26" spans="1:47" ht="13" x14ac:dyDescent="0.15">
      <c r="A26" s="562" t="s">
        <v>458</v>
      </c>
      <c r="B26" s="261" t="s">
        <v>21</v>
      </c>
      <c r="C26" s="505">
        <f>AVERAGE(AE26,G26,H26,I26,L26,M26,T26,AA26,AD26)</f>
        <v>61.961111111111109</v>
      </c>
      <c r="D26" s="108">
        <f>AVERAGE(G26,H26,I26,J26,M26,T26,W26,Y26,AB26,AC26)</f>
        <v>60.8</v>
      </c>
      <c r="E26" s="108">
        <f>AVERAGE(AA26,V26,AD26)</f>
        <v>61.027777777777771</v>
      </c>
      <c r="F26" s="810"/>
      <c r="G26" s="612">
        <v>71.599999999999994</v>
      </c>
      <c r="H26" s="530">
        <v>62</v>
      </c>
      <c r="I26" s="530">
        <v>68.3</v>
      </c>
      <c r="J26" s="633">
        <v>59.1</v>
      </c>
      <c r="K26" s="709">
        <v>62.1</v>
      </c>
      <c r="L26" s="629">
        <v>60.8</v>
      </c>
      <c r="M26" s="710">
        <v>80.7</v>
      </c>
      <c r="N26" s="633">
        <v>12</v>
      </c>
      <c r="O26" s="709">
        <v>87</v>
      </c>
      <c r="P26" s="711">
        <v>49.5</v>
      </c>
      <c r="Q26" s="629">
        <v>15</v>
      </c>
      <c r="R26" s="709">
        <v>68.400000000000006</v>
      </c>
      <c r="S26" s="629">
        <v>41.7</v>
      </c>
      <c r="T26" s="530">
        <f>AVERAGE(P26,S26)</f>
        <v>45.6</v>
      </c>
      <c r="U26" s="530">
        <v>58.949999999999996</v>
      </c>
      <c r="V26" s="606">
        <v>65.483333333333334</v>
      </c>
      <c r="W26" s="629">
        <v>10.5</v>
      </c>
      <c r="X26" s="632">
        <v>44.5</v>
      </c>
      <c r="Y26" s="633">
        <v>35</v>
      </c>
      <c r="Z26" s="632">
        <v>60.2</v>
      </c>
      <c r="AA26" s="629">
        <f t="shared" si="3"/>
        <v>30</v>
      </c>
      <c r="AB26" s="530">
        <v>89.8</v>
      </c>
      <c r="AC26" s="612">
        <v>85.4</v>
      </c>
      <c r="AD26" s="612">
        <v>87.6</v>
      </c>
      <c r="AE26" s="764">
        <v>51.05</v>
      </c>
      <c r="AF26" s="759">
        <v>71.400000000000006</v>
      </c>
      <c r="AG26" s="760">
        <v>56.1</v>
      </c>
      <c r="AH26" s="760">
        <v>44.8</v>
      </c>
      <c r="AI26" s="760">
        <v>52.9</v>
      </c>
      <c r="AJ26" s="760">
        <v>62.3</v>
      </c>
      <c r="AK26" s="760">
        <v>40.6</v>
      </c>
      <c r="AL26" s="760">
        <v>53.7</v>
      </c>
      <c r="AM26" s="760">
        <v>47</v>
      </c>
      <c r="AN26" s="760">
        <v>28.9</v>
      </c>
      <c r="AO26" s="760">
        <v>57.2</v>
      </c>
      <c r="AP26" s="760">
        <v>53.2</v>
      </c>
      <c r="AQ26" s="760">
        <v>47.9</v>
      </c>
      <c r="AR26" s="760">
        <v>46.1</v>
      </c>
      <c r="AS26" s="765">
        <v>63.3</v>
      </c>
      <c r="AT26" s="767">
        <v>12032</v>
      </c>
      <c r="AU26" s="108">
        <v>51</v>
      </c>
    </row>
    <row r="27" spans="1:47" ht="13" x14ac:dyDescent="0.15">
      <c r="A27" s="563" t="s">
        <v>460</v>
      </c>
      <c r="B27" s="61" t="s">
        <v>21</v>
      </c>
      <c r="C27" s="507">
        <f>AVERAGE(AE27,G27,H27,I27,L27,M27,T27,AA27,AD27)</f>
        <v>59.811111111111117</v>
      </c>
      <c r="D27" s="143">
        <f>AVERAGE(G27,H27,I27,J27,M27,T27,W27,Y27,AB27,AC27)</f>
        <v>59.629999999999995</v>
      </c>
      <c r="E27" s="724">
        <f>AVERAGE(AA27,V27,AD27)</f>
        <v>62.300000000000004</v>
      </c>
      <c r="F27" s="806"/>
      <c r="G27" s="536">
        <v>70.400000000000006</v>
      </c>
      <c r="H27" s="293">
        <v>61</v>
      </c>
      <c r="I27" s="293">
        <v>66.900000000000006</v>
      </c>
      <c r="J27" s="613">
        <v>56.4</v>
      </c>
      <c r="K27" s="688">
        <v>59.2</v>
      </c>
      <c r="L27" s="598">
        <v>58</v>
      </c>
      <c r="M27" s="693">
        <v>83.1</v>
      </c>
      <c r="N27" s="613">
        <v>14</v>
      </c>
      <c r="O27" s="688">
        <v>86</v>
      </c>
      <c r="P27" s="689">
        <v>50</v>
      </c>
      <c r="Q27" s="598">
        <v>2.2999999999999998</v>
      </c>
      <c r="R27" s="688">
        <v>4.5</v>
      </c>
      <c r="S27" s="598">
        <v>3.4</v>
      </c>
      <c r="T27" s="521">
        <f>AVERAGE(P27,S27)</f>
        <v>26.7</v>
      </c>
      <c r="U27" s="521">
        <v>58.633333333333333</v>
      </c>
      <c r="V27" s="594">
        <v>64.899999999999991</v>
      </c>
      <c r="W27" s="598">
        <v>23.5</v>
      </c>
      <c r="X27" s="614">
        <v>47.8</v>
      </c>
      <c r="Y27" s="613">
        <v>35.5</v>
      </c>
      <c r="Z27" s="614">
        <v>59.4</v>
      </c>
      <c r="AA27" s="634">
        <f t="shared" ref="AA27" si="13">AVERAGE(W27:Y27)</f>
        <v>35.6</v>
      </c>
      <c r="AB27" s="521">
        <v>88.8</v>
      </c>
      <c r="AC27" s="537">
        <v>84</v>
      </c>
      <c r="AD27" s="537">
        <v>86.4</v>
      </c>
      <c r="AE27" s="187">
        <v>50.2</v>
      </c>
      <c r="AF27" s="753">
        <v>70.3</v>
      </c>
      <c r="AG27" s="195">
        <v>55.6</v>
      </c>
      <c r="AH27" s="195">
        <v>43.1</v>
      </c>
      <c r="AI27" s="195">
        <v>56.8</v>
      </c>
      <c r="AJ27" s="195">
        <v>63</v>
      </c>
      <c r="AK27" s="195">
        <v>36.200000000000003</v>
      </c>
      <c r="AL27" s="195">
        <v>55.5</v>
      </c>
      <c r="AM27" s="195">
        <v>47.5</v>
      </c>
      <c r="AN27" s="195">
        <v>27.3</v>
      </c>
      <c r="AO27" s="195">
        <v>54.9</v>
      </c>
      <c r="AP27" s="195">
        <v>51.7</v>
      </c>
      <c r="AQ27" s="195">
        <v>47.9</v>
      </c>
      <c r="AR27" s="195">
        <v>43.8</v>
      </c>
      <c r="AS27" s="207">
        <v>65.900000000000006</v>
      </c>
      <c r="AT27" s="768">
        <v>12032</v>
      </c>
      <c r="AU27" s="109">
        <v>50.2</v>
      </c>
    </row>
    <row r="28" spans="1:47" ht="13" x14ac:dyDescent="0.15">
      <c r="A28" s="564" t="s">
        <v>457</v>
      </c>
      <c r="B28" s="234" t="s">
        <v>21</v>
      </c>
      <c r="C28" s="507">
        <f>AVERAGE(AE28,G28,H28,I28,L28,M28,T28,AA28,AD28)</f>
        <v>59.991851851851862</v>
      </c>
      <c r="D28" s="143">
        <f>AVERAGE(G28,H28,I28,J28,M28,T28,W28,Y28,AB28,AC28)</f>
        <v>59.1</v>
      </c>
      <c r="E28" s="143">
        <f>AVERAGE(AA28,V28,AD28)</f>
        <v>60.800000000000011</v>
      </c>
      <c r="F28" s="807"/>
      <c r="G28" s="738">
        <v>69.099999999999994</v>
      </c>
      <c r="H28" s="581">
        <v>60.8</v>
      </c>
      <c r="I28" s="581">
        <v>68.2</v>
      </c>
      <c r="J28" s="620">
        <v>59.2</v>
      </c>
      <c r="K28" s="712">
        <v>62.5</v>
      </c>
      <c r="L28" s="522">
        <v>61.1</v>
      </c>
      <c r="M28" s="713">
        <v>82.5</v>
      </c>
      <c r="N28" s="620">
        <v>13</v>
      </c>
      <c r="O28" s="712">
        <v>69</v>
      </c>
      <c r="P28" s="714">
        <v>41</v>
      </c>
      <c r="Q28" s="522">
        <v>5.3</v>
      </c>
      <c r="R28" s="662">
        <v>27.1</v>
      </c>
      <c r="S28" s="522">
        <v>16.2</v>
      </c>
      <c r="T28" s="521">
        <f>AVERAGE(P28,S28)</f>
        <v>28.6</v>
      </c>
      <c r="U28" s="521">
        <v>58.79999999999999</v>
      </c>
      <c r="V28" s="592">
        <v>63.783333333333339</v>
      </c>
      <c r="W28" s="522">
        <v>9.6</v>
      </c>
      <c r="X28" s="621">
        <v>44.7</v>
      </c>
      <c r="Y28" s="620">
        <v>35.9</v>
      </c>
      <c r="Z28" s="621">
        <v>60.7</v>
      </c>
      <c r="AA28" s="598">
        <f t="shared" si="3"/>
        <v>30.066666666666666</v>
      </c>
      <c r="AB28" s="507">
        <v>90.9</v>
      </c>
      <c r="AC28" s="587">
        <v>86.2</v>
      </c>
      <c r="AD28" s="587">
        <v>88.550000000000011</v>
      </c>
      <c r="AE28" s="762">
        <v>51.01</v>
      </c>
      <c r="AF28" s="753">
        <v>72</v>
      </c>
      <c r="AG28" s="195">
        <v>54.1</v>
      </c>
      <c r="AH28" s="195">
        <v>43</v>
      </c>
      <c r="AI28" s="195">
        <v>56.6</v>
      </c>
      <c r="AJ28" s="195">
        <v>64.099999999999994</v>
      </c>
      <c r="AK28" s="195">
        <v>40.200000000000003</v>
      </c>
      <c r="AL28" s="195">
        <v>54.2</v>
      </c>
      <c r="AM28" s="195">
        <v>46.2</v>
      </c>
      <c r="AN28" s="195">
        <v>27.5</v>
      </c>
      <c r="AO28" s="195">
        <v>56.9</v>
      </c>
      <c r="AP28" s="195">
        <v>53.6</v>
      </c>
      <c r="AQ28" s="195">
        <v>48.5</v>
      </c>
      <c r="AR28" s="195">
        <v>46.6</v>
      </c>
      <c r="AS28" s="207">
        <v>64</v>
      </c>
      <c r="AT28" s="768">
        <v>12032</v>
      </c>
      <c r="AU28" s="109">
        <v>51</v>
      </c>
    </row>
    <row r="29" spans="1:47" ht="13" x14ac:dyDescent="0.15">
      <c r="A29" s="565" t="s">
        <v>459</v>
      </c>
      <c r="B29" s="61" t="s">
        <v>21</v>
      </c>
      <c r="C29" s="507">
        <f>AVERAGE(AE29,G29,H29,I29,L29,M29,T29,AA29,AD29)</f>
        <v>60.164814814814818</v>
      </c>
      <c r="D29" s="143">
        <f>AVERAGE(G29,H29,I29,J29,M29,T29,W29,Y29,AB29,AC29)</f>
        <v>59.735000000000014</v>
      </c>
      <c r="E29" s="724">
        <f>AVERAGE(AA29,V29,AD29)</f>
        <v>60.255555555555553</v>
      </c>
      <c r="F29" s="811"/>
      <c r="G29" s="162">
        <v>70.599999999999994</v>
      </c>
      <c r="H29" s="127">
        <v>58.2</v>
      </c>
      <c r="I29" s="162">
        <v>67.3</v>
      </c>
      <c r="J29" s="124">
        <v>58.8</v>
      </c>
      <c r="K29" s="40">
        <v>60.8</v>
      </c>
      <c r="L29" s="61">
        <v>60</v>
      </c>
      <c r="M29" s="168">
        <v>72.900000000000006</v>
      </c>
      <c r="N29" s="37">
        <v>16</v>
      </c>
      <c r="O29" s="38">
        <v>81</v>
      </c>
      <c r="P29" s="117">
        <v>48.5</v>
      </c>
      <c r="Q29" s="61">
        <v>15</v>
      </c>
      <c r="R29" s="35">
        <v>78.2</v>
      </c>
      <c r="S29" s="61">
        <v>46.6</v>
      </c>
      <c r="T29" s="521">
        <f>AVERAGE(P29,S29)</f>
        <v>47.55</v>
      </c>
      <c r="U29" s="521">
        <v>58.79999999999999</v>
      </c>
      <c r="V29" s="592">
        <v>63.783333333333339</v>
      </c>
      <c r="W29" s="613">
        <v>20.9</v>
      </c>
      <c r="X29" s="820">
        <v>44.1</v>
      </c>
      <c r="Y29" s="613">
        <v>31.4</v>
      </c>
      <c r="Z29" s="821">
        <v>55.9</v>
      </c>
      <c r="AA29" s="598">
        <f t="shared" si="3"/>
        <v>32.133333333333333</v>
      </c>
      <c r="AB29" s="822">
        <v>87.5</v>
      </c>
      <c r="AC29" s="823">
        <v>82.2</v>
      </c>
      <c r="AD29" s="593">
        <f>AVERAGE(AB29,AC29)</f>
        <v>84.85</v>
      </c>
      <c r="AE29" s="187">
        <v>47.95</v>
      </c>
      <c r="AF29" s="753">
        <v>73.22</v>
      </c>
      <c r="AG29" s="195">
        <v>48.04</v>
      </c>
      <c r="AH29" s="195">
        <v>36.57</v>
      </c>
      <c r="AI29" s="195">
        <v>53.17</v>
      </c>
      <c r="AJ29" s="195">
        <v>62.91</v>
      </c>
      <c r="AK29" s="195">
        <v>33.020000000000003</v>
      </c>
      <c r="AL29" s="195">
        <v>55.75</v>
      </c>
      <c r="AM29" s="195">
        <v>48.03</v>
      </c>
      <c r="AN29" s="195">
        <v>32.79</v>
      </c>
      <c r="AO29" s="195">
        <v>50.41</v>
      </c>
      <c r="AP29" s="195">
        <v>48.38</v>
      </c>
      <c r="AQ29" s="195">
        <v>47.9</v>
      </c>
      <c r="AR29" s="195">
        <v>39.72</v>
      </c>
      <c r="AS29" s="207">
        <v>62.53</v>
      </c>
      <c r="AT29" s="768">
        <v>12032</v>
      </c>
      <c r="AU29" s="109">
        <v>47.95</v>
      </c>
    </row>
    <row r="30" spans="1:47" ht="14" thickBot="1" x14ac:dyDescent="0.2">
      <c r="A30" s="566" t="s">
        <v>361</v>
      </c>
      <c r="B30" s="497" t="s">
        <v>358</v>
      </c>
      <c r="C30" s="295">
        <f>AVERAGE(AE30,G30,H30,I30,L30,M30,T30,AA30,AD30)</f>
        <v>45.311851851851856</v>
      </c>
      <c r="D30" s="70">
        <f>AVERAGE(G30,H30,I30,J30,M30,T30,W30,Y30,AB30,AC30)</f>
        <v>46.149000000000001</v>
      </c>
      <c r="E30" s="70">
        <f>AVERAGE(AA30,V30,AD30)</f>
        <v>56.533333333333331</v>
      </c>
      <c r="F30" s="803"/>
      <c r="G30" s="538">
        <v>36.799999999999997</v>
      </c>
      <c r="H30" s="496">
        <v>16</v>
      </c>
      <c r="I30" s="496">
        <v>57.1</v>
      </c>
      <c r="J30" s="623">
        <v>6.2</v>
      </c>
      <c r="K30" s="679">
        <v>6.2</v>
      </c>
      <c r="L30" s="705">
        <v>6.2</v>
      </c>
      <c r="M30" s="695">
        <v>71.8</v>
      </c>
      <c r="N30" s="623">
        <v>16</v>
      </c>
      <c r="O30" s="694">
        <v>88</v>
      </c>
      <c r="P30" s="696">
        <v>52</v>
      </c>
      <c r="Q30" s="715">
        <v>0</v>
      </c>
      <c r="R30" s="716">
        <v>0.75</v>
      </c>
      <c r="S30" s="716">
        <v>0.38</v>
      </c>
      <c r="T30" s="604">
        <f>AVERAGE(P30,S30)</f>
        <v>26.19</v>
      </c>
      <c r="U30" s="496">
        <v>33.983333333333334</v>
      </c>
      <c r="V30" s="601">
        <v>39.983333333333327</v>
      </c>
      <c r="W30" s="623">
        <v>23.3</v>
      </c>
      <c r="X30" s="624">
        <v>53</v>
      </c>
      <c r="Y30" s="623">
        <v>47.2</v>
      </c>
      <c r="Z30" s="538">
        <v>68.5</v>
      </c>
      <c r="AA30" s="493">
        <f t="shared" si="3"/>
        <v>41.166666666666664</v>
      </c>
      <c r="AB30" s="496">
        <v>91</v>
      </c>
      <c r="AC30" s="538">
        <v>85.9</v>
      </c>
      <c r="AD30" s="538">
        <v>88.45</v>
      </c>
      <c r="AE30" s="541">
        <v>64.099999999999994</v>
      </c>
      <c r="AF30" s="754">
        <v>80.3</v>
      </c>
      <c r="AG30" s="755">
        <v>71.400000000000006</v>
      </c>
      <c r="AH30" s="755">
        <v>64.099999999999994</v>
      </c>
      <c r="AI30" s="755">
        <v>68</v>
      </c>
      <c r="AJ30" s="755">
        <v>74.900000000000006</v>
      </c>
      <c r="AK30" s="755">
        <v>45.2</v>
      </c>
      <c r="AL30" s="755">
        <v>64.3</v>
      </c>
      <c r="AM30" s="755">
        <v>57</v>
      </c>
      <c r="AN30" s="755">
        <v>39.1</v>
      </c>
      <c r="AO30" s="755">
        <v>75.5</v>
      </c>
      <c r="AP30" s="755">
        <v>63</v>
      </c>
      <c r="AQ30" s="755">
        <v>55.1</v>
      </c>
      <c r="AR30" s="755">
        <v>67.5</v>
      </c>
      <c r="AS30" s="766">
        <v>71.900000000000006</v>
      </c>
      <c r="AT30" s="769">
        <v>12032</v>
      </c>
      <c r="AU30" s="253">
        <v>64.099999999999994</v>
      </c>
    </row>
    <row r="31" spans="1:47" ht="15.75" customHeight="1" thickBot="1" x14ac:dyDescent="0.2">
      <c r="A31" s="567"/>
      <c r="C31" s="354"/>
      <c r="D31" s="725"/>
      <c r="E31" s="567"/>
      <c r="F31" s="812"/>
      <c r="G31" s="567"/>
      <c r="H31" s="567"/>
      <c r="I31" s="567"/>
      <c r="J31" s="567"/>
      <c r="K31" s="567"/>
      <c r="L31" s="567"/>
      <c r="M31" s="567"/>
      <c r="N31" s="636"/>
      <c r="O31" s="636"/>
      <c r="P31" s="636"/>
      <c r="Q31" s="636"/>
      <c r="R31" s="636"/>
      <c r="S31" s="636"/>
      <c r="T31" s="636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741"/>
      <c r="AG31" s="741"/>
      <c r="AH31" s="741"/>
      <c r="AI31" s="741"/>
      <c r="AJ31" s="741"/>
      <c r="AK31" s="741"/>
      <c r="AL31" s="741"/>
      <c r="AM31" s="741"/>
      <c r="AN31" s="741"/>
      <c r="AO31" s="741"/>
      <c r="AP31" s="741"/>
      <c r="AQ31" s="741"/>
      <c r="AR31" s="741"/>
      <c r="AS31" s="741"/>
      <c r="AT31" s="771"/>
      <c r="AU31" s="741"/>
    </row>
    <row r="32" spans="1:47" ht="13" x14ac:dyDescent="0.15">
      <c r="A32" s="568" t="s">
        <v>461</v>
      </c>
      <c r="B32" s="534" t="s">
        <v>21</v>
      </c>
      <c r="C32" s="505">
        <f>AVERAGE(AE32,G32,H32,I32,L32,M32,T32,AA32,AD32)</f>
        <v>52.682222222222229</v>
      </c>
      <c r="D32" s="108">
        <f>AVERAGE(G32,H32,I32,J32,M32,T32,W32,Y32,AB32,AC32)</f>
        <v>51.29</v>
      </c>
      <c r="E32" s="108">
        <f>AVERAGE(AA32,V32,AD32)</f>
        <v>50.4</v>
      </c>
      <c r="F32" s="810"/>
      <c r="G32" s="612">
        <v>64.900000000000006</v>
      </c>
      <c r="H32" s="530">
        <v>62.2</v>
      </c>
      <c r="I32" s="530">
        <v>65.599999999999994</v>
      </c>
      <c r="J32" s="633">
        <v>60</v>
      </c>
      <c r="K32" s="709">
        <v>62.2</v>
      </c>
      <c r="L32" s="629">
        <v>61.3</v>
      </c>
      <c r="M32" s="710">
        <v>82.1</v>
      </c>
      <c r="N32" s="633">
        <v>4</v>
      </c>
      <c r="O32" s="709">
        <v>21</v>
      </c>
      <c r="P32" s="711">
        <v>12.5</v>
      </c>
      <c r="Q32" s="629">
        <v>6.8</v>
      </c>
      <c r="R32" s="709">
        <v>29.3</v>
      </c>
      <c r="S32" s="629">
        <v>18.100000000000001</v>
      </c>
      <c r="T32" s="530">
        <f>AVERAGE(P32,S32)</f>
        <v>15.3</v>
      </c>
      <c r="U32" s="530">
        <v>56.466666666666661</v>
      </c>
      <c r="V32" s="606">
        <v>58.1</v>
      </c>
      <c r="W32" s="637">
        <v>4.5999999999999996</v>
      </c>
      <c r="X32" s="632">
        <v>39.700000000000003</v>
      </c>
      <c r="Y32" s="633">
        <v>4.5999999999999996</v>
      </c>
      <c r="Z32" s="632">
        <v>38.6</v>
      </c>
      <c r="AA32" s="629">
        <f t="shared" si="3"/>
        <v>16.3</v>
      </c>
      <c r="AB32" s="530">
        <v>78.3</v>
      </c>
      <c r="AC32" s="612">
        <v>75.3</v>
      </c>
      <c r="AD32" s="612">
        <v>76.8</v>
      </c>
      <c r="AE32" s="764">
        <v>29.64</v>
      </c>
      <c r="AF32" s="759">
        <v>54.3</v>
      </c>
      <c r="AG32" s="760">
        <v>30.4</v>
      </c>
      <c r="AH32" s="760">
        <v>18.600000000000001</v>
      </c>
      <c r="AI32" s="760">
        <v>27.6</v>
      </c>
      <c r="AJ32" s="760">
        <v>37.299999999999997</v>
      </c>
      <c r="AK32" s="760">
        <v>15.7</v>
      </c>
      <c r="AL32" s="760">
        <v>37.299999999999997</v>
      </c>
      <c r="AM32" s="760">
        <v>32.799999999999997</v>
      </c>
      <c r="AN32" s="760">
        <v>18.3</v>
      </c>
      <c r="AO32" s="760">
        <v>28.3</v>
      </c>
      <c r="AP32" s="760">
        <v>32.6</v>
      </c>
      <c r="AQ32" s="760">
        <v>32.299999999999997</v>
      </c>
      <c r="AR32" s="760">
        <v>24.5</v>
      </c>
      <c r="AS32" s="765">
        <v>44.1</v>
      </c>
      <c r="AT32" s="767">
        <v>12032</v>
      </c>
      <c r="AU32" s="108">
        <v>29.6</v>
      </c>
    </row>
    <row r="33" spans="1:47" ht="13" x14ac:dyDescent="0.15">
      <c r="A33" s="569" t="s">
        <v>464</v>
      </c>
      <c r="B33" s="376" t="s">
        <v>21</v>
      </c>
      <c r="C33" s="507">
        <f>AVERAGE(AE33,G33,H33,I33,L33,M33,T33,AA33,AD33)</f>
        <v>51.910370370370373</v>
      </c>
      <c r="D33" s="143">
        <f>AVERAGE(G33,H33,I33,J33,M33,T33,W33,Y33,AB33,AC33)</f>
        <v>50.755000000000003</v>
      </c>
      <c r="E33" s="724">
        <f>AVERAGE(AA33,V33,AD33)</f>
        <v>50.45000000000001</v>
      </c>
      <c r="F33" s="806"/>
      <c r="G33" s="536">
        <v>59.3</v>
      </c>
      <c r="H33" s="293">
        <v>60.4</v>
      </c>
      <c r="I33" s="293">
        <v>67.7</v>
      </c>
      <c r="J33" s="598">
        <v>57.9</v>
      </c>
      <c r="K33" s="688">
        <v>60</v>
      </c>
      <c r="L33" s="598">
        <v>59.1</v>
      </c>
      <c r="M33" s="693">
        <v>75.3</v>
      </c>
      <c r="N33" s="598">
        <v>7</v>
      </c>
      <c r="O33" s="688">
        <v>69</v>
      </c>
      <c r="P33" s="598">
        <v>38</v>
      </c>
      <c r="Q33" s="634">
        <v>8.3000000000000007</v>
      </c>
      <c r="R33" s="688">
        <v>21.1</v>
      </c>
      <c r="S33" s="598">
        <v>14.7</v>
      </c>
      <c r="T33" s="293">
        <f>AVERAGE(P33,S33)</f>
        <v>26.35</v>
      </c>
      <c r="U33" s="293">
        <v>54.599999999999994</v>
      </c>
      <c r="V33" s="594">
        <v>59.966666666666669</v>
      </c>
      <c r="W33" s="598">
        <v>11</v>
      </c>
      <c r="X33" s="614">
        <v>41.9</v>
      </c>
      <c r="Y33" s="613">
        <v>6.3</v>
      </c>
      <c r="Z33" s="614">
        <v>40.200000000000003</v>
      </c>
      <c r="AA33" s="634">
        <f>AVERAGE(W33:Y33)</f>
        <v>19.733333333333331</v>
      </c>
      <c r="AB33" s="293">
        <v>72.5</v>
      </c>
      <c r="AC33" s="537">
        <v>70.8</v>
      </c>
      <c r="AD33" s="598">
        <v>71.650000000000006</v>
      </c>
      <c r="AE33" s="109">
        <v>27.66</v>
      </c>
      <c r="AF33" s="753">
        <v>46.2</v>
      </c>
      <c r="AG33" s="195">
        <v>24.6</v>
      </c>
      <c r="AH33" s="195">
        <v>20.100000000000001</v>
      </c>
      <c r="AI33" s="195">
        <v>29.3</v>
      </c>
      <c r="AJ33" s="195">
        <v>34.1</v>
      </c>
      <c r="AK33" s="195">
        <v>19.2</v>
      </c>
      <c r="AL33" s="195">
        <v>36.6</v>
      </c>
      <c r="AM33" s="195">
        <v>26</v>
      </c>
      <c r="AN33" s="195">
        <v>19.8</v>
      </c>
      <c r="AO33" s="195">
        <v>23</v>
      </c>
      <c r="AP33" s="195">
        <v>28.7</v>
      </c>
      <c r="AQ33" s="195">
        <v>28.3</v>
      </c>
      <c r="AR33" s="195">
        <v>24.4</v>
      </c>
      <c r="AS33" s="207">
        <v>41.6</v>
      </c>
      <c r="AT33" s="768">
        <v>12032</v>
      </c>
      <c r="AU33" s="109">
        <v>27.7</v>
      </c>
    </row>
    <row r="34" spans="1:47" ht="13" x14ac:dyDescent="0.15">
      <c r="A34" s="570" t="s">
        <v>462</v>
      </c>
      <c r="B34" s="322" t="s">
        <v>21</v>
      </c>
      <c r="C34" s="507">
        <f>AVERAGE(AE34,G34,H34,I34,L34,M34,T34,AA34,AD34)</f>
        <v>51.588888888888889</v>
      </c>
      <c r="D34" s="143">
        <f>AVERAGE(G34,H34,I34,J34,M34,T34,W34,Y34,AB34,AC34)</f>
        <v>50.545000000000002</v>
      </c>
      <c r="E34" s="724">
        <f>AVERAGE(AA34,V34,AD34)</f>
        <v>49.588888888888881</v>
      </c>
      <c r="F34" s="806"/>
      <c r="G34" s="536">
        <v>62.8</v>
      </c>
      <c r="H34" s="293">
        <v>55.6</v>
      </c>
      <c r="I34" s="293">
        <v>63.1</v>
      </c>
      <c r="J34" s="613">
        <v>56.2</v>
      </c>
      <c r="K34" s="688">
        <v>58.1</v>
      </c>
      <c r="L34" s="598">
        <v>57.3</v>
      </c>
      <c r="M34" s="693">
        <v>67.7</v>
      </c>
      <c r="N34" s="613">
        <v>6</v>
      </c>
      <c r="O34" s="688">
        <v>75</v>
      </c>
      <c r="P34" s="689">
        <v>45.5</v>
      </c>
      <c r="Q34" s="598">
        <v>15.8</v>
      </c>
      <c r="R34" s="688">
        <v>70.7</v>
      </c>
      <c r="S34" s="598">
        <v>43.2</v>
      </c>
      <c r="T34" s="293">
        <f>AVERAGE(P34,S34)</f>
        <v>44.35</v>
      </c>
      <c r="U34" s="293">
        <v>51.9</v>
      </c>
      <c r="V34" s="638">
        <v>58.666666666666664</v>
      </c>
      <c r="W34" s="598">
        <v>4.0999999999999996</v>
      </c>
      <c r="X34" s="614">
        <v>40.1</v>
      </c>
      <c r="Y34" s="613">
        <v>2.6</v>
      </c>
      <c r="Z34" s="536">
        <v>37.799999999999997</v>
      </c>
      <c r="AA34" s="598">
        <f t="shared" si="3"/>
        <v>15.600000000000001</v>
      </c>
      <c r="AB34" s="293">
        <v>75.5</v>
      </c>
      <c r="AC34" s="536">
        <v>73.5</v>
      </c>
      <c r="AD34" s="536">
        <v>74.5</v>
      </c>
      <c r="AE34" s="109">
        <v>23.35</v>
      </c>
      <c r="AF34" s="753">
        <v>44.35</v>
      </c>
      <c r="AG34" s="195">
        <v>23.19</v>
      </c>
      <c r="AH34" s="195">
        <v>13.96</v>
      </c>
      <c r="AI34" s="195">
        <v>18.54</v>
      </c>
      <c r="AJ34" s="195">
        <v>33.53</v>
      </c>
      <c r="AK34" s="195">
        <v>16.2</v>
      </c>
      <c r="AL34" s="195">
        <v>33.130000000000003</v>
      </c>
      <c r="AM34" s="195">
        <v>24.15</v>
      </c>
      <c r="AN34" s="195">
        <v>16.62</v>
      </c>
      <c r="AO34" s="195">
        <v>15.32</v>
      </c>
      <c r="AP34" s="195">
        <v>24.35</v>
      </c>
      <c r="AQ34" s="195">
        <v>23.85</v>
      </c>
      <c r="AR34" s="195">
        <v>17.55</v>
      </c>
      <c r="AS34" s="207">
        <v>38.72</v>
      </c>
      <c r="AT34" s="768">
        <v>12032</v>
      </c>
      <c r="AU34" s="109">
        <v>23.35</v>
      </c>
    </row>
    <row r="35" spans="1:47" ht="13" x14ac:dyDescent="0.15">
      <c r="A35" s="561" t="s">
        <v>463</v>
      </c>
      <c r="B35" s="508" t="s">
        <v>21</v>
      </c>
      <c r="C35" s="507">
        <f>AVERAGE(AE35,G35,H35,I35,L35,M35,T35,AA35,AD35)</f>
        <v>46.678148148148153</v>
      </c>
      <c r="D35" s="143">
        <f>AVERAGE(G35,H35,I35,J35,M35,T35,W35,Y35,AB35,AC35)</f>
        <v>46.985000000000014</v>
      </c>
      <c r="E35" s="143">
        <f>AVERAGE(AA35,V35,AD35)</f>
        <v>46.800000000000004</v>
      </c>
      <c r="F35" s="807"/>
      <c r="G35" s="509">
        <v>64.400000000000006</v>
      </c>
      <c r="H35" s="510">
        <v>49.8</v>
      </c>
      <c r="I35" s="510">
        <v>65.099999999999994</v>
      </c>
      <c r="J35" s="511">
        <v>34.4</v>
      </c>
      <c r="K35" s="512">
        <v>35.799999999999997</v>
      </c>
      <c r="L35" s="513">
        <v>35.200000000000003</v>
      </c>
      <c r="M35" s="514">
        <v>71</v>
      </c>
      <c r="N35" s="515">
        <v>2</v>
      </c>
      <c r="O35" s="516">
        <v>26</v>
      </c>
      <c r="P35" s="515">
        <v>14</v>
      </c>
      <c r="Q35" s="216">
        <v>5.3</v>
      </c>
      <c r="R35" s="516">
        <v>54.1</v>
      </c>
      <c r="S35" s="515">
        <v>29.7</v>
      </c>
      <c r="T35" s="521">
        <f>AVERAGE(P35,S35)</f>
        <v>21.85</v>
      </c>
      <c r="U35" s="510">
        <v>47.783333333333339</v>
      </c>
      <c r="V35" s="517">
        <v>49.916666666666664</v>
      </c>
      <c r="W35" s="518">
        <v>14.6</v>
      </c>
      <c r="X35" s="524">
        <v>40.700000000000003</v>
      </c>
      <c r="Y35" s="519">
        <v>13.8</v>
      </c>
      <c r="Z35" s="523">
        <v>45.3</v>
      </c>
      <c r="AA35" s="598">
        <f t="shared" si="3"/>
        <v>23.033333333333335</v>
      </c>
      <c r="AB35" s="525">
        <v>68.900000000000006</v>
      </c>
      <c r="AC35" s="218">
        <v>66</v>
      </c>
      <c r="AD35" s="515">
        <v>67.45</v>
      </c>
      <c r="AE35" s="109">
        <v>22.27</v>
      </c>
      <c r="AF35" s="753">
        <v>44.8</v>
      </c>
      <c r="AG35" s="195">
        <v>15.8</v>
      </c>
      <c r="AH35" s="195">
        <v>14.6</v>
      </c>
      <c r="AI35" s="195">
        <v>23.4</v>
      </c>
      <c r="AJ35" s="195">
        <v>31.8</v>
      </c>
      <c r="AK35" s="195">
        <v>19</v>
      </c>
      <c r="AL35" s="195">
        <v>26.5</v>
      </c>
      <c r="AM35" s="195">
        <v>22.6</v>
      </c>
      <c r="AN35" s="195">
        <v>18.399999999999999</v>
      </c>
      <c r="AO35" s="195">
        <v>14.7</v>
      </c>
      <c r="AP35" s="195">
        <v>21.6</v>
      </c>
      <c r="AQ35" s="195">
        <v>21.2</v>
      </c>
      <c r="AR35" s="195">
        <v>15.2</v>
      </c>
      <c r="AS35" s="207">
        <v>39.1</v>
      </c>
      <c r="AT35" s="768">
        <v>12032</v>
      </c>
      <c r="AU35" s="109">
        <v>22.3</v>
      </c>
    </row>
    <row r="36" spans="1:47" ht="14" thickBot="1" x14ac:dyDescent="0.2">
      <c r="A36" s="571" t="s">
        <v>362</v>
      </c>
      <c r="B36" s="494" t="s">
        <v>358</v>
      </c>
      <c r="C36" s="295">
        <f>AVERAGE(AE36,G36,H36,I36,L36,M36,T36,AA36,AD36)</f>
        <v>42.675925925925924</v>
      </c>
      <c r="D36" s="70">
        <f>AVERAGE(G36,H36,I36,J36,M36,T36,W36,Y36,AB36,AC36)</f>
        <v>43.429999999999993</v>
      </c>
      <c r="E36" s="70">
        <f>AVERAGE(AA36,V36,AD36)</f>
        <v>51.622222222222227</v>
      </c>
      <c r="F36" s="803"/>
      <c r="G36" s="538">
        <v>59.7</v>
      </c>
      <c r="H36" s="496">
        <v>12</v>
      </c>
      <c r="I36" s="496">
        <v>42.1</v>
      </c>
      <c r="J36" s="623">
        <v>7.8</v>
      </c>
      <c r="K36" s="694">
        <v>8</v>
      </c>
      <c r="L36" s="679">
        <v>7.9</v>
      </c>
      <c r="M36" s="695">
        <v>73.599999999999994</v>
      </c>
      <c r="N36" s="623">
        <v>18</v>
      </c>
      <c r="O36" s="694">
        <v>64</v>
      </c>
      <c r="P36" s="696">
        <v>41</v>
      </c>
      <c r="Q36" s="533">
        <v>3.8</v>
      </c>
      <c r="R36" s="694">
        <v>14.3</v>
      </c>
      <c r="S36" s="533">
        <v>9</v>
      </c>
      <c r="T36" s="496">
        <f>AVERAGE(P36,S36)</f>
        <v>25</v>
      </c>
      <c r="U36" s="496">
        <v>35.533333333333331</v>
      </c>
      <c r="V36" s="601">
        <v>39.383333333333333</v>
      </c>
      <c r="W36" s="639">
        <v>16.100000000000001</v>
      </c>
      <c r="X36" s="538">
        <v>47.9</v>
      </c>
      <c r="Y36" s="533">
        <v>29.1</v>
      </c>
      <c r="Z36" s="640">
        <v>58.3</v>
      </c>
      <c r="AA36" s="493">
        <f t="shared" si="3"/>
        <v>31.033333333333331</v>
      </c>
      <c r="AB36" s="496">
        <v>86.2</v>
      </c>
      <c r="AC36" s="538">
        <v>82.7</v>
      </c>
      <c r="AD36" s="538">
        <v>84.45</v>
      </c>
      <c r="AE36" s="253">
        <v>48.3</v>
      </c>
      <c r="AF36" s="754">
        <v>68.599999999999994</v>
      </c>
      <c r="AG36" s="755">
        <v>51.8</v>
      </c>
      <c r="AH36" s="755">
        <v>42.8</v>
      </c>
      <c r="AI36" s="755">
        <v>48.8</v>
      </c>
      <c r="AJ36" s="755">
        <v>57.6</v>
      </c>
      <c r="AK36" s="755">
        <v>28.2</v>
      </c>
      <c r="AL36" s="755">
        <v>58.9</v>
      </c>
      <c r="AM36" s="755">
        <v>46.2</v>
      </c>
      <c r="AN36" s="755">
        <v>31.2</v>
      </c>
      <c r="AO36" s="755">
        <v>52.3</v>
      </c>
      <c r="AP36" s="755">
        <v>50.4</v>
      </c>
      <c r="AQ36" s="755">
        <v>40.5</v>
      </c>
      <c r="AR36" s="755">
        <v>43.8</v>
      </c>
      <c r="AS36" s="766">
        <v>64.8</v>
      </c>
      <c r="AT36" s="769">
        <v>12032</v>
      </c>
      <c r="AU36" s="253">
        <v>48.3</v>
      </c>
    </row>
    <row r="37" spans="1:47" ht="14" thickBot="1" x14ac:dyDescent="0.2">
      <c r="A37" s="560"/>
      <c r="B37" s="494"/>
      <c r="C37" s="542"/>
      <c r="D37" s="541"/>
      <c r="E37" s="532"/>
      <c r="F37" s="808"/>
      <c r="G37" s="533"/>
      <c r="H37" s="533"/>
      <c r="I37" s="533"/>
      <c r="J37" s="697"/>
      <c r="K37" s="625"/>
      <c r="L37" s="531"/>
      <c r="M37" s="533"/>
      <c r="N37" s="531"/>
      <c r="O37" s="625"/>
      <c r="P37" s="706"/>
      <c r="Q37" s="531"/>
      <c r="R37" s="625"/>
      <c r="S37" s="531"/>
      <c r="T37" s="533"/>
      <c r="U37" s="532"/>
      <c r="V37" s="532"/>
      <c r="W37" s="531"/>
      <c r="X37" s="625"/>
      <c r="Y37" s="625"/>
      <c r="Z37" s="625"/>
      <c r="AA37" s="531"/>
      <c r="AB37" s="631"/>
      <c r="AC37" s="626"/>
      <c r="AD37" s="627"/>
      <c r="AE37" s="532"/>
      <c r="AF37" s="741"/>
      <c r="AG37" s="741"/>
      <c r="AH37" s="741"/>
      <c r="AI37" s="741"/>
      <c r="AJ37" s="741"/>
      <c r="AK37" s="741"/>
      <c r="AL37" s="741"/>
      <c r="AM37" s="741"/>
      <c r="AN37" s="741"/>
      <c r="AO37" s="741"/>
      <c r="AP37" s="741"/>
      <c r="AQ37" s="741"/>
      <c r="AR37" s="741"/>
      <c r="AS37" s="741"/>
      <c r="AT37" s="771"/>
      <c r="AU37" s="741"/>
    </row>
    <row r="38" spans="1:47" ht="13" x14ac:dyDescent="0.15">
      <c r="A38" s="555" t="s">
        <v>465</v>
      </c>
      <c r="B38" s="504" t="s">
        <v>21</v>
      </c>
      <c r="C38" s="507">
        <f>AVERAGE(AE38,G38,H38,I38,L38,M38,T38,AA38,AD38)</f>
        <v>54.459259259259255</v>
      </c>
      <c r="D38" s="68">
        <f>AVERAGE(G38,H38,I38,J38,M38,T38,W38,Y38,AB38,AC38)</f>
        <v>53.354999999999997</v>
      </c>
      <c r="E38" s="68">
        <f>AVERAGE(AA38,V38,AD38)</f>
        <v>53.088888888888881</v>
      </c>
      <c r="F38" s="809"/>
      <c r="G38" s="575">
        <v>62.4</v>
      </c>
      <c r="H38" s="505">
        <v>62.4</v>
      </c>
      <c r="I38" s="505">
        <v>67.099999999999994</v>
      </c>
      <c r="J38" s="643">
        <v>58.5</v>
      </c>
      <c r="K38" s="650">
        <v>60.6</v>
      </c>
      <c r="L38" s="585">
        <v>59.7</v>
      </c>
      <c r="M38" s="648">
        <v>84</v>
      </c>
      <c r="N38" s="585">
        <v>17</v>
      </c>
      <c r="O38" s="650">
        <v>55</v>
      </c>
      <c r="P38" s="717">
        <v>36</v>
      </c>
      <c r="Q38" s="585">
        <v>3.8</v>
      </c>
      <c r="R38" s="650">
        <v>32.200000000000003</v>
      </c>
      <c r="S38" s="585">
        <v>18.100000000000001</v>
      </c>
      <c r="T38" s="505">
        <f t="shared" si="8"/>
        <v>27.05</v>
      </c>
      <c r="U38" s="505">
        <v>58.566666666666663</v>
      </c>
      <c r="V38" s="641">
        <v>61.93333333333333</v>
      </c>
      <c r="W38" s="585">
        <v>4.3</v>
      </c>
      <c r="X38" s="642">
        <v>40.4</v>
      </c>
      <c r="Y38" s="643">
        <v>8.8000000000000007</v>
      </c>
      <c r="Z38" s="642">
        <v>40.799999999999997</v>
      </c>
      <c r="AA38" s="611">
        <f t="shared" si="3"/>
        <v>17.833333333333332</v>
      </c>
      <c r="AB38" s="505">
        <v>81.099999999999994</v>
      </c>
      <c r="AC38" s="575">
        <v>77.900000000000006</v>
      </c>
      <c r="AD38" s="575">
        <v>79.5</v>
      </c>
      <c r="AE38" s="761">
        <v>30.15</v>
      </c>
      <c r="AF38" s="759">
        <v>58.2</v>
      </c>
      <c r="AG38" s="760">
        <v>30.2</v>
      </c>
      <c r="AH38" s="760">
        <v>20.7</v>
      </c>
      <c r="AI38" s="760">
        <v>31.7</v>
      </c>
      <c r="AJ38" s="760">
        <v>40.200000000000003</v>
      </c>
      <c r="AK38" s="760">
        <v>18.899999999999999</v>
      </c>
      <c r="AL38" s="760">
        <v>35.1</v>
      </c>
      <c r="AM38" s="760">
        <v>31</v>
      </c>
      <c r="AN38" s="760">
        <v>19.2</v>
      </c>
      <c r="AO38" s="760">
        <v>26</v>
      </c>
      <c r="AP38" s="760">
        <v>32.9</v>
      </c>
      <c r="AQ38" s="760">
        <v>29.1</v>
      </c>
      <c r="AR38" s="760">
        <v>22</v>
      </c>
      <c r="AS38" s="765">
        <v>48.2</v>
      </c>
      <c r="AT38" s="767">
        <v>12032</v>
      </c>
      <c r="AU38" s="108">
        <v>30.2</v>
      </c>
    </row>
    <row r="39" spans="1:47" ht="13" x14ac:dyDescent="0.15">
      <c r="A39" s="572" t="s">
        <v>471</v>
      </c>
      <c r="B39" s="506" t="s">
        <v>21</v>
      </c>
      <c r="C39" s="507">
        <f>AVERAGE(AE39,G39,H39,I39,L39,M39,T39,AA39,AD39)</f>
        <v>52.442962962962966</v>
      </c>
      <c r="D39" s="109">
        <f>AVERAGE(G39,H39,I39,J39,M39,T39,W39,Y39,AB39,AC39)</f>
        <v>53.174999999999997</v>
      </c>
      <c r="E39" s="109">
        <f>AVERAGE(AA39,V39,AD39)</f>
        <v>53.822222222222223</v>
      </c>
      <c r="F39" s="813"/>
      <c r="G39" s="587">
        <v>53.8</v>
      </c>
      <c r="H39" s="507">
        <v>60</v>
      </c>
      <c r="I39" s="507">
        <v>68.400000000000006</v>
      </c>
      <c r="J39" s="645">
        <v>38.799999999999997</v>
      </c>
      <c r="K39" s="659">
        <v>47.1</v>
      </c>
      <c r="L39" s="591">
        <v>43.5</v>
      </c>
      <c r="M39" s="718">
        <v>83.6</v>
      </c>
      <c r="N39" s="591">
        <v>14</v>
      </c>
      <c r="O39" s="659">
        <v>67</v>
      </c>
      <c r="P39" s="719">
        <v>40.5</v>
      </c>
      <c r="Q39" s="591">
        <v>15.8</v>
      </c>
      <c r="R39" s="659">
        <v>39.1</v>
      </c>
      <c r="S39" s="591">
        <v>27.4</v>
      </c>
      <c r="T39" s="507">
        <f t="shared" si="8"/>
        <v>33.950000000000003</v>
      </c>
      <c r="U39" s="507">
        <v>53.1</v>
      </c>
      <c r="V39" s="592">
        <v>58.300000000000004</v>
      </c>
      <c r="W39" s="591">
        <v>16.100000000000001</v>
      </c>
      <c r="X39" s="644">
        <v>41.7</v>
      </c>
      <c r="Y39" s="645">
        <v>27.9</v>
      </c>
      <c r="Z39" s="644">
        <v>53.5</v>
      </c>
      <c r="AA39" s="598">
        <f t="shared" si="3"/>
        <v>28.566666666666666</v>
      </c>
      <c r="AB39" s="507">
        <v>75.3</v>
      </c>
      <c r="AC39" s="587">
        <v>73.900000000000006</v>
      </c>
      <c r="AD39" s="587">
        <v>74.599999999999994</v>
      </c>
      <c r="AE39" s="194">
        <v>25.57</v>
      </c>
      <c r="AF39" s="753">
        <v>44.49</v>
      </c>
      <c r="AG39" s="195">
        <v>23.57</v>
      </c>
      <c r="AH39" s="195">
        <v>17.84</v>
      </c>
      <c r="AI39" s="195">
        <v>24.88</v>
      </c>
      <c r="AJ39" s="195">
        <v>31.99</v>
      </c>
      <c r="AK39" s="195">
        <v>17.649999999999999</v>
      </c>
      <c r="AL39" s="195">
        <v>28.61</v>
      </c>
      <c r="AM39" s="195">
        <v>27.56</v>
      </c>
      <c r="AN39" s="195">
        <v>18.62</v>
      </c>
      <c r="AO39" s="195">
        <v>23.54</v>
      </c>
      <c r="AP39" s="195">
        <v>28.79</v>
      </c>
      <c r="AQ39" s="195">
        <v>24.85</v>
      </c>
      <c r="AR39" s="195">
        <v>21.25</v>
      </c>
      <c r="AS39" s="207">
        <v>37.47</v>
      </c>
      <c r="AT39" s="768">
        <v>12032</v>
      </c>
      <c r="AU39" s="109">
        <v>25.57</v>
      </c>
    </row>
    <row r="40" spans="1:47" ht="13" x14ac:dyDescent="0.15">
      <c r="A40" s="573" t="s">
        <v>406</v>
      </c>
      <c r="B40" s="506" t="s">
        <v>358</v>
      </c>
      <c r="C40" s="507">
        <f>AVERAGE(AE40,G40,H40,I40,L40,M40,T40,AA40,AD40)</f>
        <v>51.875555555555557</v>
      </c>
      <c r="D40" s="109">
        <f>AVERAGE(G40,H40,I40,J40,M40,T40,W40,Y40,AB40,AC40)</f>
        <v>52.734999999999999</v>
      </c>
      <c r="E40" s="109">
        <f>AVERAGE(AA40,V40,AD40)</f>
        <v>57.705555555555556</v>
      </c>
      <c r="F40" s="813"/>
      <c r="G40" s="587">
        <v>77.8</v>
      </c>
      <c r="H40" s="507">
        <v>36.6</v>
      </c>
      <c r="I40" s="507">
        <v>65</v>
      </c>
      <c r="J40" s="645">
        <v>26.9</v>
      </c>
      <c r="K40" s="659">
        <v>28.2</v>
      </c>
      <c r="L40" s="591">
        <v>27.7</v>
      </c>
      <c r="M40" s="718">
        <v>65.3</v>
      </c>
      <c r="N40" s="591">
        <v>26</v>
      </c>
      <c r="O40" s="659">
        <v>87</v>
      </c>
      <c r="P40" s="719">
        <v>56.5</v>
      </c>
      <c r="Q40" s="591">
        <v>3.8</v>
      </c>
      <c r="R40" s="659">
        <v>15</v>
      </c>
      <c r="S40" s="591">
        <v>9.4</v>
      </c>
      <c r="T40" s="507">
        <f t="shared" ref="T40" si="14">AVERAGE(P40,S40)</f>
        <v>32.950000000000003</v>
      </c>
      <c r="U40" s="507">
        <v>49.6</v>
      </c>
      <c r="V40" s="592">
        <v>54.816666666666663</v>
      </c>
      <c r="W40" s="591">
        <v>16.8</v>
      </c>
      <c r="X40" s="644">
        <v>48.4</v>
      </c>
      <c r="Y40" s="645">
        <v>38.6</v>
      </c>
      <c r="Z40" s="644">
        <v>62</v>
      </c>
      <c r="AA40" s="598">
        <f t="shared" si="3"/>
        <v>34.6</v>
      </c>
      <c r="AB40" s="507">
        <v>85.7</v>
      </c>
      <c r="AC40" s="587">
        <v>81.7</v>
      </c>
      <c r="AD40" s="587">
        <v>83.7</v>
      </c>
      <c r="AE40" s="194">
        <v>43.23</v>
      </c>
      <c r="AF40" s="753">
        <v>64.2</v>
      </c>
      <c r="AG40" s="195">
        <v>49.2</v>
      </c>
      <c r="AH40" s="195">
        <v>35.9</v>
      </c>
      <c r="AI40" s="195">
        <v>47.3</v>
      </c>
      <c r="AJ40" s="195">
        <v>52.5</v>
      </c>
      <c r="AK40" s="195">
        <v>26.4</v>
      </c>
      <c r="AL40" s="195">
        <v>47.2</v>
      </c>
      <c r="AM40" s="195">
        <v>39.6</v>
      </c>
      <c r="AN40" s="195">
        <v>25.9</v>
      </c>
      <c r="AO40" s="195">
        <v>48.9</v>
      </c>
      <c r="AP40" s="195">
        <v>45.8</v>
      </c>
      <c r="AQ40" s="195">
        <v>37.299999999999997</v>
      </c>
      <c r="AR40" s="195">
        <v>38.200000000000003</v>
      </c>
      <c r="AS40" s="207">
        <v>58.6</v>
      </c>
      <c r="AT40" s="768">
        <v>12032</v>
      </c>
      <c r="AU40" s="109">
        <v>43.2</v>
      </c>
    </row>
    <row r="41" spans="1:47" ht="13" x14ac:dyDescent="0.15">
      <c r="A41" s="572" t="s">
        <v>470</v>
      </c>
      <c r="B41" s="506" t="s">
        <v>21</v>
      </c>
      <c r="C41" s="507">
        <f>AVERAGE(AE41,G41,H41,I41,L41,M41,T41,AA41,AD41)</f>
        <v>41.258148148148138</v>
      </c>
      <c r="D41" s="109">
        <f>AVERAGE(G41,H41,I41,J41,M41,T41,W41,Y41,AB41,AC41)</f>
        <v>43.885000000000005</v>
      </c>
      <c r="E41" s="109">
        <f>AVERAGE(AA41,V41,AD41)</f>
        <v>48.133333333333333</v>
      </c>
      <c r="F41" s="813"/>
      <c r="G41" s="587">
        <v>38.5</v>
      </c>
      <c r="H41" s="507">
        <v>27.8</v>
      </c>
      <c r="I41" s="507">
        <v>45.6</v>
      </c>
      <c r="J41" s="645">
        <v>33.4</v>
      </c>
      <c r="K41" s="659">
        <v>38.4</v>
      </c>
      <c r="L41" s="591">
        <v>36.299999999999997</v>
      </c>
      <c r="M41" s="718">
        <v>87.4</v>
      </c>
      <c r="N41" s="591">
        <v>1</v>
      </c>
      <c r="O41" s="659">
        <v>20</v>
      </c>
      <c r="P41" s="719">
        <v>10.5</v>
      </c>
      <c r="Q41" s="591">
        <v>4.5</v>
      </c>
      <c r="R41" s="659">
        <v>21.1</v>
      </c>
      <c r="S41" s="591">
        <v>12.8</v>
      </c>
      <c r="T41" s="507">
        <f t="shared" si="8"/>
        <v>11.65</v>
      </c>
      <c r="U41" s="507">
        <v>38.950000000000003</v>
      </c>
      <c r="V41" s="592">
        <v>41.016666666666666</v>
      </c>
      <c r="W41" s="591">
        <v>18.7</v>
      </c>
      <c r="X41" s="644">
        <v>41.6</v>
      </c>
      <c r="Y41" s="645">
        <v>27.7</v>
      </c>
      <c r="Z41" s="644">
        <v>53.4</v>
      </c>
      <c r="AA41" s="598">
        <f t="shared" si="3"/>
        <v>29.333333333333332</v>
      </c>
      <c r="AB41" s="507">
        <v>74.7</v>
      </c>
      <c r="AC41" s="587">
        <v>73.400000000000006</v>
      </c>
      <c r="AD41" s="587">
        <v>74.050000000000011</v>
      </c>
      <c r="AE41" s="194">
        <v>20.69</v>
      </c>
      <c r="AF41" s="753">
        <v>41.6</v>
      </c>
      <c r="AG41" s="195">
        <v>14.6</v>
      </c>
      <c r="AH41" s="195">
        <v>12.5</v>
      </c>
      <c r="AI41" s="195">
        <v>21.2</v>
      </c>
      <c r="AJ41" s="195">
        <v>31.8</v>
      </c>
      <c r="AK41" s="195">
        <v>14.9</v>
      </c>
      <c r="AL41" s="195">
        <v>24.3</v>
      </c>
      <c r="AM41" s="195">
        <v>24.1</v>
      </c>
      <c r="AN41" s="195">
        <v>17.3</v>
      </c>
      <c r="AO41" s="195">
        <v>13</v>
      </c>
      <c r="AP41" s="195">
        <v>22.8</v>
      </c>
      <c r="AQ41" s="195">
        <v>20.8</v>
      </c>
      <c r="AR41" s="195">
        <v>13.9</v>
      </c>
      <c r="AS41" s="207">
        <v>35.5</v>
      </c>
      <c r="AT41" s="768">
        <v>12032</v>
      </c>
      <c r="AU41" s="109">
        <v>20.7</v>
      </c>
    </row>
    <row r="42" spans="1:47" ht="14" thickBot="1" x14ac:dyDescent="0.2">
      <c r="A42" s="574" t="s">
        <v>467</v>
      </c>
      <c r="B42" s="495" t="s">
        <v>21</v>
      </c>
      <c r="C42" s="295">
        <f>AVERAGE(AE42,G42,H42,I42,L42,M42,T42,AA42,AD42)</f>
        <v>43.116296296296298</v>
      </c>
      <c r="D42" s="70">
        <f>AVERAGE(G42,H42,I42,J42,M42,T42,W42,Y42,AB42,AC42)</f>
        <v>42.914999999999999</v>
      </c>
      <c r="E42" s="70">
        <f>AVERAGE(AA42,V42,AD42)</f>
        <v>46.055555555555564</v>
      </c>
      <c r="F42" s="803"/>
      <c r="G42" s="538">
        <v>41.5</v>
      </c>
      <c r="H42" s="496">
        <v>23</v>
      </c>
      <c r="I42" s="496">
        <v>52.2</v>
      </c>
      <c r="J42" s="623">
        <v>50.7</v>
      </c>
      <c r="K42" s="694">
        <v>54.8</v>
      </c>
      <c r="L42" s="533">
        <v>53</v>
      </c>
      <c r="M42" s="695">
        <v>81.2</v>
      </c>
      <c r="N42" s="533">
        <v>1</v>
      </c>
      <c r="O42" s="694">
        <v>24</v>
      </c>
      <c r="P42" s="720">
        <v>12.5</v>
      </c>
      <c r="Q42" s="533">
        <v>10.5</v>
      </c>
      <c r="R42" s="694">
        <v>28.6</v>
      </c>
      <c r="S42" s="533">
        <v>19.600000000000001</v>
      </c>
      <c r="T42" s="496">
        <f t="shared" si="8"/>
        <v>16.05</v>
      </c>
      <c r="U42" s="496">
        <v>41.6</v>
      </c>
      <c r="V42" s="601">
        <v>43.9</v>
      </c>
      <c r="W42" s="533">
        <v>5.7</v>
      </c>
      <c r="X42" s="624">
        <v>41.6</v>
      </c>
      <c r="Y42" s="623">
        <v>5.4</v>
      </c>
      <c r="Z42" s="624">
        <v>41.4</v>
      </c>
      <c r="AA42" s="493">
        <f t="shared" si="3"/>
        <v>17.566666666666666</v>
      </c>
      <c r="AB42" s="496">
        <v>78</v>
      </c>
      <c r="AC42" s="538">
        <v>75.400000000000006</v>
      </c>
      <c r="AD42" s="538">
        <v>76.7</v>
      </c>
      <c r="AE42" s="541">
        <v>26.83</v>
      </c>
      <c r="AF42" s="754">
        <v>55</v>
      </c>
      <c r="AG42" s="755">
        <v>23.8</v>
      </c>
      <c r="AH42" s="755">
        <v>19.2</v>
      </c>
      <c r="AI42" s="755">
        <v>30.5</v>
      </c>
      <c r="AJ42" s="755">
        <v>37</v>
      </c>
      <c r="AK42" s="755">
        <v>19.8</v>
      </c>
      <c r="AL42" s="755">
        <v>30.6</v>
      </c>
      <c r="AM42" s="755">
        <v>31</v>
      </c>
      <c r="AN42" s="755">
        <v>19.3</v>
      </c>
      <c r="AO42" s="755">
        <v>17.8</v>
      </c>
      <c r="AP42" s="755">
        <v>27.7</v>
      </c>
      <c r="AQ42" s="755">
        <v>24</v>
      </c>
      <c r="AR42" s="755">
        <v>18.2</v>
      </c>
      <c r="AS42" s="766">
        <v>46</v>
      </c>
      <c r="AT42" s="769">
        <v>12032</v>
      </c>
      <c r="AU42" s="253">
        <v>26.8</v>
      </c>
    </row>
    <row r="43" spans="1:47" ht="15.75" customHeight="1" x14ac:dyDescent="0.15">
      <c r="A43" s="177"/>
      <c r="B43" s="491"/>
      <c r="C43" s="500"/>
      <c r="D43" s="501"/>
      <c r="E43" s="502"/>
      <c r="F43" s="814"/>
      <c r="G43" s="500"/>
      <c r="H43" s="500"/>
      <c r="I43" s="500"/>
      <c r="J43" s="500"/>
      <c r="K43" s="500"/>
      <c r="L43" s="500"/>
      <c r="M43" s="500"/>
      <c r="N43" s="500"/>
      <c r="O43" s="488"/>
      <c r="P43" s="488"/>
      <c r="Q43" s="488"/>
      <c r="R43" s="488"/>
      <c r="S43" s="488"/>
      <c r="T43" s="486"/>
      <c r="U43" s="488"/>
      <c r="V43" s="488"/>
      <c r="W43" s="500"/>
      <c r="X43" s="500"/>
      <c r="Y43" s="500"/>
      <c r="Z43" s="500"/>
      <c r="AA43" s="500"/>
      <c r="AB43" s="500"/>
      <c r="AC43" s="500"/>
      <c r="AD43" s="500"/>
      <c r="AE43" s="500"/>
    </row>
    <row r="44" spans="1:47" ht="15.75" customHeight="1" x14ac:dyDescent="0.15">
      <c r="C44" s="491"/>
      <c r="D44" s="491"/>
      <c r="E44" s="491"/>
      <c r="F44" s="815"/>
      <c r="G44" s="491"/>
      <c r="H44" s="491"/>
      <c r="I44" s="491"/>
      <c r="J44" s="491"/>
      <c r="K44" s="491"/>
      <c r="L44" s="491"/>
      <c r="M44" s="491"/>
      <c r="N44" s="490"/>
      <c r="O44" s="490"/>
      <c r="P44" s="490"/>
      <c r="Q44" s="490"/>
      <c r="R44" s="490"/>
      <c r="S44" s="490"/>
      <c r="T44" s="490"/>
      <c r="U44" s="491"/>
      <c r="V44" s="491"/>
      <c r="W44" s="491"/>
      <c r="X44" s="491"/>
      <c r="Y44" s="491"/>
      <c r="Z44" s="491"/>
      <c r="AA44" s="491"/>
      <c r="AB44" s="491"/>
      <c r="AC44" s="491"/>
      <c r="AD44" s="491"/>
      <c r="AE44" s="491"/>
    </row>
    <row r="45" spans="1:47" ht="15.75" customHeight="1" x14ac:dyDescent="0.15">
      <c r="C45" s="491"/>
      <c r="D45" s="491"/>
      <c r="E45" s="491"/>
      <c r="F45" s="815"/>
      <c r="G45" s="491"/>
      <c r="H45" s="491"/>
      <c r="I45" s="491"/>
      <c r="J45" s="491"/>
      <c r="K45" s="491"/>
      <c r="L45" s="491"/>
      <c r="M45" s="491"/>
      <c r="N45" s="490"/>
      <c r="O45" s="490"/>
      <c r="P45" s="490"/>
      <c r="Q45" s="490"/>
      <c r="R45" s="490"/>
      <c r="S45" s="490"/>
      <c r="T45" s="490"/>
      <c r="U45" s="491"/>
      <c r="V45" s="491"/>
      <c r="W45" s="491"/>
      <c r="X45" s="491"/>
      <c r="Y45" s="491"/>
      <c r="Z45" s="491"/>
      <c r="AA45" s="491"/>
      <c r="AB45" s="491"/>
      <c r="AC45" s="491"/>
      <c r="AD45" s="491"/>
      <c r="AE45" s="491"/>
    </row>
    <row r="46" spans="1:47" ht="15.75" customHeight="1" x14ac:dyDescent="0.15">
      <c r="C46" s="491"/>
      <c r="D46" s="491"/>
      <c r="E46" s="491"/>
      <c r="F46" s="815"/>
      <c r="G46" s="491"/>
      <c r="H46" s="491"/>
      <c r="I46" s="491"/>
      <c r="J46" s="491"/>
      <c r="K46" s="491"/>
      <c r="L46" s="491"/>
      <c r="M46" s="491"/>
      <c r="N46" s="490"/>
      <c r="O46" s="490"/>
      <c r="P46" s="490"/>
      <c r="Q46" s="490"/>
      <c r="R46" s="490"/>
      <c r="S46" s="490"/>
      <c r="T46" s="490"/>
      <c r="U46" s="491"/>
      <c r="V46" s="491"/>
      <c r="W46" s="491"/>
      <c r="X46" s="491"/>
      <c r="Y46" s="491"/>
      <c r="Z46" s="491"/>
      <c r="AA46" s="491"/>
      <c r="AB46" s="491"/>
      <c r="AC46" s="491"/>
      <c r="AD46" s="491"/>
      <c r="AE46" s="491"/>
    </row>
    <row r="47" spans="1:47" ht="15.75" customHeight="1" x14ac:dyDescent="0.15">
      <c r="C47" s="491"/>
      <c r="D47" s="491"/>
      <c r="E47" s="491"/>
      <c r="F47" s="815"/>
      <c r="G47" s="491"/>
      <c r="H47" s="491"/>
      <c r="I47" s="491"/>
      <c r="J47" s="491"/>
      <c r="K47" s="491"/>
      <c r="L47" s="491"/>
      <c r="M47" s="491"/>
      <c r="N47" s="490"/>
      <c r="O47" s="490"/>
      <c r="P47" s="490"/>
      <c r="Q47" s="490"/>
      <c r="R47" s="490"/>
      <c r="S47" s="490"/>
      <c r="T47" s="490"/>
      <c r="U47" s="491"/>
      <c r="V47" s="491"/>
      <c r="W47" s="491"/>
      <c r="X47" s="491"/>
      <c r="Y47" s="491"/>
      <c r="Z47" s="491"/>
      <c r="AA47" s="491"/>
      <c r="AB47" s="491"/>
      <c r="AC47" s="491"/>
      <c r="AD47" s="491"/>
      <c r="AE47" s="491"/>
    </row>
    <row r="48" spans="1:47" ht="15.75" customHeight="1" x14ac:dyDescent="0.15">
      <c r="C48" s="491"/>
      <c r="D48" s="491"/>
      <c r="E48" s="491"/>
      <c r="F48" s="815"/>
      <c r="G48" s="491"/>
      <c r="H48" s="491"/>
      <c r="I48" s="491"/>
      <c r="J48" s="491"/>
      <c r="K48" s="491"/>
      <c r="L48" s="491"/>
      <c r="M48" s="491"/>
      <c r="N48" s="490"/>
      <c r="O48" s="490"/>
      <c r="P48" s="490"/>
      <c r="Q48" s="490"/>
      <c r="R48" s="490"/>
      <c r="S48" s="490"/>
      <c r="T48" s="490"/>
      <c r="U48" s="491"/>
      <c r="V48" s="491"/>
      <c r="W48" s="491"/>
      <c r="X48" s="491"/>
      <c r="Y48" s="491"/>
      <c r="Z48" s="491"/>
      <c r="AA48" s="491"/>
      <c r="AB48" s="491"/>
      <c r="AC48" s="491"/>
      <c r="AD48" s="491"/>
      <c r="AE48" s="491"/>
    </row>
    <row r="49" spans="1:31" ht="15.75" customHeight="1" x14ac:dyDescent="0.15">
      <c r="A49" s="177"/>
      <c r="B49" s="491"/>
      <c r="C49" s="491"/>
      <c r="D49" s="485"/>
      <c r="E49" s="484"/>
      <c r="F49" s="816"/>
      <c r="G49" s="491"/>
      <c r="H49" s="491"/>
      <c r="I49" s="491"/>
      <c r="J49" s="491"/>
      <c r="K49" s="491"/>
      <c r="L49" s="491"/>
      <c r="M49" s="491"/>
      <c r="N49" s="491"/>
      <c r="O49" s="490"/>
      <c r="P49" s="490"/>
      <c r="Q49" s="490"/>
      <c r="R49" s="490"/>
      <c r="S49" s="490"/>
      <c r="T49" s="483"/>
      <c r="U49" s="490"/>
      <c r="V49" s="490"/>
      <c r="W49" s="491"/>
      <c r="X49" s="491"/>
      <c r="Y49" s="491"/>
      <c r="Z49" s="491"/>
      <c r="AA49" s="491"/>
      <c r="AB49" s="491"/>
      <c r="AC49" s="491"/>
      <c r="AD49" s="491"/>
      <c r="AE49" s="491"/>
    </row>
  </sheetData>
  <mergeCells count="46">
    <mergeCell ref="AE1:AU1"/>
    <mergeCell ref="AE2:AE4"/>
    <mergeCell ref="F1:F4"/>
    <mergeCell ref="AQ2:AQ4"/>
    <mergeCell ref="AR2:AR4"/>
    <mergeCell ref="AS2:AS4"/>
    <mergeCell ref="AT2:AT4"/>
    <mergeCell ref="AU2:AU4"/>
    <mergeCell ref="AK2:AK4"/>
    <mergeCell ref="AJ2:AJ4"/>
    <mergeCell ref="AL2:AL4"/>
    <mergeCell ref="AM2:AM4"/>
    <mergeCell ref="AN2:AN4"/>
    <mergeCell ref="AO2:AO4"/>
    <mergeCell ref="AP2:AP4"/>
    <mergeCell ref="G1:V1"/>
    <mergeCell ref="C1:C4"/>
    <mergeCell ref="B1:B4"/>
    <mergeCell ref="A1:A4"/>
    <mergeCell ref="AF2:AF4"/>
    <mergeCell ref="AG2:AG4"/>
    <mergeCell ref="AH2:AH4"/>
    <mergeCell ref="AI2:AI4"/>
    <mergeCell ref="Q3:S3"/>
    <mergeCell ref="T3:T4"/>
    <mergeCell ref="W3:X3"/>
    <mergeCell ref="Y3:Z3"/>
    <mergeCell ref="AA3:AA4"/>
    <mergeCell ref="G3:G4"/>
    <mergeCell ref="H3:H4"/>
    <mergeCell ref="I3:I4"/>
    <mergeCell ref="J3:L3"/>
    <mergeCell ref="M3:M4"/>
    <mergeCell ref="N3:P3"/>
    <mergeCell ref="U2:U4"/>
    <mergeCell ref="V2:V4"/>
    <mergeCell ref="W2:AA2"/>
    <mergeCell ref="AB2:AB4"/>
    <mergeCell ref="AC2:AC4"/>
    <mergeCell ref="AD2:AD4"/>
    <mergeCell ref="W1:AA1"/>
    <mergeCell ref="AB1:AD1"/>
    <mergeCell ref="E1:E4"/>
    <mergeCell ref="D1:D4"/>
    <mergeCell ref="J2:L2"/>
    <mergeCell ref="N2:T2"/>
  </mergeCells>
  <pageMargins left="0.7" right="0.7" top="0.75" bottom="0.75" header="0.3" footer="0.3"/>
  <pageSetup orientation="portrait" horizontalDpi="0" verticalDpi="0"/>
  <ignoredErrors>
    <ignoredError sqref="AA7 AA12:AA17 AA19:AA28 AA5:AA6 AA8:AA9 AA10 AA29:AA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1339-01BF-624E-A660-D597FF9FC0E8}">
  <dimension ref="A1:L30"/>
  <sheetViews>
    <sheetView tabSelected="1" zoomScale="170" zoomScaleNormal="170" workbookViewId="0">
      <selection activeCell="A2" sqref="A2"/>
    </sheetView>
  </sheetViews>
  <sheetFormatPr baseColWidth="10" defaultRowHeight="13" x14ac:dyDescent="0.15"/>
  <cols>
    <col min="1" max="1" width="58.1640625" bestFit="1" customWidth="1"/>
    <col min="2" max="2" width="16.5" hidden="1" customWidth="1"/>
    <col min="3" max="3" width="22.1640625" hidden="1" customWidth="1"/>
    <col min="4" max="4" width="29.83203125" hidden="1" customWidth="1"/>
    <col min="5" max="5" width="24.5" hidden="1" customWidth="1"/>
    <col min="6" max="6" width="26.1640625" hidden="1" customWidth="1"/>
    <col min="7" max="7" width="23.6640625" hidden="1" customWidth="1"/>
    <col min="8" max="8" width="18.5" hidden="1" customWidth="1"/>
    <col min="9" max="9" width="24.1640625" hidden="1" customWidth="1"/>
    <col min="10" max="10" width="22.83203125" hidden="1" customWidth="1"/>
    <col min="11" max="11" width="27" hidden="1" customWidth="1"/>
    <col min="12" max="12" width="29.6640625" style="775" customWidth="1"/>
  </cols>
  <sheetData>
    <row r="1" spans="1:12" s="778" customFormat="1" ht="15" thickBot="1" x14ac:dyDescent="0.2">
      <c r="A1" s="789" t="s">
        <v>550</v>
      </c>
      <c r="B1" s="776" t="s">
        <v>551</v>
      </c>
      <c r="C1" s="776" t="s">
        <v>552</v>
      </c>
      <c r="D1" s="776" t="s">
        <v>553</v>
      </c>
      <c r="E1" s="776" t="s">
        <v>554</v>
      </c>
      <c r="F1" s="776" t="s">
        <v>556</v>
      </c>
      <c r="G1" s="776" t="s">
        <v>557</v>
      </c>
      <c r="H1" s="776" t="s">
        <v>558</v>
      </c>
      <c r="I1" s="776" t="s">
        <v>565</v>
      </c>
      <c r="J1" s="776" t="s">
        <v>566</v>
      </c>
      <c r="K1" s="776" t="s">
        <v>567</v>
      </c>
      <c r="L1" s="777" t="s">
        <v>555</v>
      </c>
    </row>
    <row r="2" spans="1:12" x14ac:dyDescent="0.15">
      <c r="A2" s="786" t="s">
        <v>570</v>
      </c>
      <c r="B2" s="793">
        <v>4.9832999999999998</v>
      </c>
      <c r="C2" s="793">
        <v>0.34439999999999998</v>
      </c>
      <c r="D2" s="793">
        <v>0.3528</v>
      </c>
      <c r="E2" s="793">
        <v>0.38890000000000002</v>
      </c>
      <c r="F2" s="787"/>
      <c r="G2" s="787"/>
      <c r="H2" s="787"/>
      <c r="I2" s="787">
        <v>1.214</v>
      </c>
      <c r="J2" s="787">
        <v>2.4279999999999999</v>
      </c>
      <c r="K2" s="790" t="s">
        <v>569</v>
      </c>
      <c r="L2" s="788">
        <v>6.0693999999999999</v>
      </c>
    </row>
    <row r="3" spans="1:12" x14ac:dyDescent="0.15">
      <c r="A3" s="781" t="s">
        <v>571</v>
      </c>
      <c r="B3" s="780">
        <v>0.51390000000000002</v>
      </c>
      <c r="C3" s="780">
        <v>0.35830000000000001</v>
      </c>
      <c r="D3" s="780">
        <v>0.2167</v>
      </c>
      <c r="E3" s="780">
        <v>0.89439999999999997</v>
      </c>
      <c r="F3" s="779"/>
      <c r="G3" s="779"/>
      <c r="H3" s="779"/>
      <c r="I3" s="779">
        <v>0.39700000000000002</v>
      </c>
      <c r="J3" s="779">
        <v>0.79300000000000004</v>
      </c>
      <c r="K3" s="791" t="s">
        <v>569</v>
      </c>
      <c r="L3" s="782">
        <v>1.9833000000000001</v>
      </c>
    </row>
    <row r="4" spans="1:12" x14ac:dyDescent="0.15">
      <c r="A4" s="781" t="s">
        <v>572</v>
      </c>
      <c r="B4" s="780">
        <v>0.82499999999999996</v>
      </c>
      <c r="C4" s="780">
        <v>0.25829999999999997</v>
      </c>
      <c r="D4" s="780">
        <v>0.44440000000000002</v>
      </c>
      <c r="E4" s="780">
        <v>1.2917000000000001</v>
      </c>
      <c r="F4" s="779"/>
      <c r="G4" s="779"/>
      <c r="H4" s="779"/>
      <c r="I4" s="779">
        <v>0.56399999999999995</v>
      </c>
      <c r="J4" s="779">
        <v>1.1279999999999999</v>
      </c>
      <c r="K4" s="791" t="s">
        <v>569</v>
      </c>
      <c r="L4" s="782">
        <v>2.8193999999999999</v>
      </c>
    </row>
    <row r="5" spans="1:12" x14ac:dyDescent="0.15">
      <c r="A5" s="781" t="s">
        <v>573</v>
      </c>
      <c r="B5" s="780">
        <v>0.57499999999999996</v>
      </c>
      <c r="C5" s="780">
        <v>0.19439999999999999</v>
      </c>
      <c r="D5" s="780">
        <v>0.1333</v>
      </c>
      <c r="E5" s="780">
        <v>0.96389999999999998</v>
      </c>
      <c r="F5" s="779"/>
      <c r="G5" s="779"/>
      <c r="H5" s="779"/>
      <c r="I5" s="779">
        <v>0.373</v>
      </c>
      <c r="J5" s="779">
        <v>0.747</v>
      </c>
      <c r="K5" s="791" t="s">
        <v>569</v>
      </c>
      <c r="L5" s="782">
        <v>1.8667</v>
      </c>
    </row>
    <row r="6" spans="1:12" x14ac:dyDescent="0.15">
      <c r="A6" s="781" t="s">
        <v>574</v>
      </c>
      <c r="B6" s="780">
        <v>1.2722</v>
      </c>
      <c r="C6" s="780">
        <v>1.1778</v>
      </c>
      <c r="D6" s="780">
        <v>0.72499999999999998</v>
      </c>
      <c r="E6" s="780">
        <v>3.7139000000000002</v>
      </c>
      <c r="F6" s="779"/>
      <c r="G6" s="779"/>
      <c r="H6" s="779"/>
      <c r="I6" s="779">
        <v>1.3779999999999999</v>
      </c>
      <c r="J6" s="779">
        <v>2.7559999999999998</v>
      </c>
      <c r="K6" s="791" t="s">
        <v>569</v>
      </c>
      <c r="L6" s="782">
        <v>6.8888999999999996</v>
      </c>
    </row>
    <row r="7" spans="1:12" x14ac:dyDescent="0.15">
      <c r="A7" s="781" t="s">
        <v>575</v>
      </c>
      <c r="B7" s="780">
        <v>0.46110000000000001</v>
      </c>
      <c r="C7" s="780">
        <v>0.2472</v>
      </c>
      <c r="D7" s="780">
        <v>0.1222</v>
      </c>
      <c r="E7" s="780">
        <v>0.62780000000000002</v>
      </c>
      <c r="F7" s="779"/>
      <c r="G7" s="779"/>
      <c r="H7" s="779"/>
      <c r="I7" s="779">
        <v>0.29199999999999998</v>
      </c>
      <c r="J7" s="779">
        <v>0.58299999999999996</v>
      </c>
      <c r="K7" s="791" t="s">
        <v>569</v>
      </c>
      <c r="L7" s="782">
        <v>1.4582999999999999</v>
      </c>
    </row>
    <row r="8" spans="1:12" x14ac:dyDescent="0.15">
      <c r="A8" s="781" t="s">
        <v>576</v>
      </c>
      <c r="B8" s="780">
        <v>0.28610000000000002</v>
      </c>
      <c r="C8" s="780">
        <v>0.18609999999999999</v>
      </c>
      <c r="D8" s="780">
        <v>0.11940000000000001</v>
      </c>
      <c r="E8" s="780">
        <v>0.2</v>
      </c>
      <c r="F8" s="779"/>
      <c r="G8" s="779"/>
      <c r="H8" s="779"/>
      <c r="I8" s="779">
        <v>0.158</v>
      </c>
      <c r="J8" s="779">
        <v>0.317</v>
      </c>
      <c r="K8" s="791" t="s">
        <v>569</v>
      </c>
      <c r="L8" s="782">
        <v>0.79169999999999996</v>
      </c>
    </row>
    <row r="9" spans="1:12" x14ac:dyDescent="0.15">
      <c r="A9" s="781" t="s">
        <v>577</v>
      </c>
      <c r="B9" s="780">
        <v>0.4889</v>
      </c>
      <c r="C9" s="780">
        <v>0.18329999999999999</v>
      </c>
      <c r="D9" s="780">
        <v>0.1167</v>
      </c>
      <c r="E9" s="780">
        <v>2.5000000000000001E-2</v>
      </c>
      <c r="F9" s="779"/>
      <c r="G9" s="779"/>
      <c r="H9" s="779"/>
      <c r="I9" s="779">
        <v>0.16300000000000001</v>
      </c>
      <c r="J9" s="779">
        <v>0.32600000000000001</v>
      </c>
      <c r="K9" s="791" t="s">
        <v>569</v>
      </c>
      <c r="L9" s="782">
        <v>0.81389999999999996</v>
      </c>
    </row>
    <row r="10" spans="1:12" x14ac:dyDescent="0.15">
      <c r="A10" s="781" t="s">
        <v>578</v>
      </c>
      <c r="B10" s="780">
        <v>0.62219999999999998</v>
      </c>
      <c r="C10" s="780">
        <v>0.89439999999999997</v>
      </c>
      <c r="D10" s="780">
        <v>0.11940000000000001</v>
      </c>
      <c r="E10" s="780">
        <v>0.94169999999999998</v>
      </c>
      <c r="F10" s="779"/>
      <c r="G10" s="779"/>
      <c r="H10" s="779"/>
      <c r="I10" s="779">
        <v>0.51600000000000001</v>
      </c>
      <c r="J10" s="779">
        <v>1.0309999999999999</v>
      </c>
      <c r="K10" s="791" t="s">
        <v>569</v>
      </c>
      <c r="L10" s="782">
        <v>2.5777999999999999</v>
      </c>
    </row>
    <row r="11" spans="1:12" x14ac:dyDescent="0.15">
      <c r="A11" s="781" t="s">
        <v>579</v>
      </c>
      <c r="B11" s="780">
        <v>1.2388999999999999</v>
      </c>
      <c r="C11" s="780">
        <v>0.71109999999999995</v>
      </c>
      <c r="D11" s="780">
        <v>0.19170000000000001</v>
      </c>
      <c r="E11" s="780">
        <v>0.88329999999999997</v>
      </c>
      <c r="F11" s="779"/>
      <c r="G11" s="779"/>
      <c r="H11" s="779"/>
      <c r="I11" s="779">
        <v>0.60499999999999998</v>
      </c>
      <c r="J11" s="779">
        <v>1.21</v>
      </c>
      <c r="K11" s="791" t="s">
        <v>569</v>
      </c>
      <c r="L11" s="782">
        <v>3.0249999999999999</v>
      </c>
    </row>
    <row r="12" spans="1:12" x14ac:dyDescent="0.15">
      <c r="A12" s="781" t="s">
        <v>580</v>
      </c>
      <c r="B12" s="780">
        <v>0.84440000000000004</v>
      </c>
      <c r="C12" s="780">
        <v>0.56110000000000004</v>
      </c>
      <c r="D12" s="780">
        <v>0.2</v>
      </c>
      <c r="E12" s="780">
        <v>0.64170000000000005</v>
      </c>
      <c r="F12" s="779"/>
      <c r="G12" s="779"/>
      <c r="H12" s="779"/>
      <c r="I12" s="779">
        <v>0.44900000000000001</v>
      </c>
      <c r="J12" s="779">
        <v>0.89900000000000002</v>
      </c>
      <c r="K12" s="791" t="s">
        <v>569</v>
      </c>
      <c r="L12" s="782">
        <v>2.2471999999999999</v>
      </c>
    </row>
    <row r="13" spans="1:12" x14ac:dyDescent="0.15">
      <c r="A13" s="781" t="s">
        <v>581</v>
      </c>
      <c r="B13" s="780">
        <v>1.2888999999999999</v>
      </c>
      <c r="C13" s="780">
        <v>0.57779999999999998</v>
      </c>
      <c r="D13" s="780">
        <v>0.19719999999999999</v>
      </c>
      <c r="E13" s="780">
        <v>1.0778000000000001</v>
      </c>
      <c r="F13" s="779"/>
      <c r="G13" s="779"/>
      <c r="H13" s="779"/>
      <c r="I13" s="779">
        <v>0.628</v>
      </c>
      <c r="J13" s="779">
        <v>1.2569999999999999</v>
      </c>
      <c r="K13" s="791" t="s">
        <v>569</v>
      </c>
      <c r="L13" s="782">
        <v>3.1417000000000002</v>
      </c>
    </row>
    <row r="14" spans="1:12" x14ac:dyDescent="0.15">
      <c r="A14" s="781" t="s">
        <v>582</v>
      </c>
      <c r="B14" s="780">
        <v>1.0667</v>
      </c>
      <c r="C14" s="780">
        <v>0.65</v>
      </c>
      <c r="D14" s="780">
        <v>0.23330000000000001</v>
      </c>
      <c r="E14" s="780">
        <v>0.93330000000000002</v>
      </c>
      <c r="F14" s="779"/>
      <c r="G14" s="779"/>
      <c r="H14" s="779"/>
      <c r="I14" s="779">
        <v>0.57699999999999996</v>
      </c>
      <c r="J14" s="779">
        <v>1.153</v>
      </c>
      <c r="K14" s="791" t="s">
        <v>569</v>
      </c>
      <c r="L14" s="782">
        <v>2.8833000000000002</v>
      </c>
    </row>
    <row r="15" spans="1:12" x14ac:dyDescent="0.15">
      <c r="A15" s="781" t="s">
        <v>583</v>
      </c>
      <c r="B15" s="780">
        <v>0.73329999999999995</v>
      </c>
      <c r="C15" s="780">
        <v>0.58609999999999995</v>
      </c>
      <c r="D15" s="780">
        <v>0.2278</v>
      </c>
      <c r="E15" s="780">
        <v>0.62780000000000002</v>
      </c>
      <c r="F15" s="779"/>
      <c r="G15" s="779"/>
      <c r="H15" s="779"/>
      <c r="I15" s="779">
        <v>0.435</v>
      </c>
      <c r="J15" s="779">
        <v>0.87</v>
      </c>
      <c r="K15" s="791" t="s">
        <v>569</v>
      </c>
      <c r="L15" s="782">
        <v>2.1749999999999998</v>
      </c>
    </row>
    <row r="16" spans="1:12" x14ac:dyDescent="0.15">
      <c r="A16" s="781" t="s">
        <v>584</v>
      </c>
      <c r="B16" s="780">
        <v>1.2194</v>
      </c>
      <c r="C16" s="780">
        <v>0.59440000000000004</v>
      </c>
      <c r="D16" s="780">
        <v>0.23330000000000001</v>
      </c>
      <c r="E16" s="780">
        <v>0.78610000000000002</v>
      </c>
      <c r="F16" s="779"/>
      <c r="G16" s="779"/>
      <c r="H16" s="779"/>
      <c r="I16" s="779">
        <v>0.56699999999999995</v>
      </c>
      <c r="J16" s="779">
        <v>1.133</v>
      </c>
      <c r="K16" s="791" t="s">
        <v>569</v>
      </c>
      <c r="L16" s="782">
        <v>2.8332999999999999</v>
      </c>
    </row>
    <row r="17" spans="1:12" x14ac:dyDescent="0.15">
      <c r="A17" s="781" t="s">
        <v>585</v>
      </c>
      <c r="B17" s="780">
        <v>1.0361</v>
      </c>
      <c r="C17" s="780">
        <v>0.58889999999999998</v>
      </c>
      <c r="D17" s="780">
        <v>0.2361</v>
      </c>
      <c r="E17" s="780">
        <v>0.6472</v>
      </c>
      <c r="F17" s="779"/>
      <c r="G17" s="779"/>
      <c r="H17" s="779"/>
      <c r="I17" s="779">
        <v>0.502</v>
      </c>
      <c r="J17" s="779">
        <v>1.0029999999999999</v>
      </c>
      <c r="K17" s="791" t="s">
        <v>569</v>
      </c>
      <c r="L17" s="782">
        <v>2.5083000000000002</v>
      </c>
    </row>
    <row r="18" spans="1:12" x14ac:dyDescent="0.15">
      <c r="A18" s="781" t="s">
        <v>586</v>
      </c>
      <c r="B18" s="780">
        <v>0.98329999999999995</v>
      </c>
      <c r="C18" s="780">
        <v>0.65280000000000005</v>
      </c>
      <c r="D18" s="780">
        <v>0.2278</v>
      </c>
      <c r="E18" s="780">
        <v>0.8639</v>
      </c>
      <c r="F18" s="779"/>
      <c r="G18" s="779"/>
      <c r="H18" s="779"/>
      <c r="I18" s="779">
        <v>0.54600000000000004</v>
      </c>
      <c r="J18" s="779">
        <v>1.091</v>
      </c>
      <c r="K18" s="791" t="s">
        <v>569</v>
      </c>
      <c r="L18" s="782">
        <v>2.7277999999999998</v>
      </c>
    </row>
    <row r="19" spans="1:12" x14ac:dyDescent="0.15">
      <c r="A19" s="781" t="s">
        <v>587</v>
      </c>
      <c r="B19" s="780">
        <v>3.1749999999999998</v>
      </c>
      <c r="C19" s="780">
        <v>0.35830000000000001</v>
      </c>
      <c r="D19" s="780">
        <v>0.33889999999999998</v>
      </c>
      <c r="E19" s="780">
        <v>1.7444</v>
      </c>
      <c r="F19" s="779"/>
      <c r="G19" s="779"/>
      <c r="H19" s="779"/>
      <c r="I19" s="779">
        <v>1.123</v>
      </c>
      <c r="J19" s="779">
        <v>2.2469999999999999</v>
      </c>
      <c r="K19" s="791" t="s">
        <v>569</v>
      </c>
      <c r="L19" s="782">
        <v>5.6166999999999998</v>
      </c>
    </row>
    <row r="20" spans="1:12" x14ac:dyDescent="0.15">
      <c r="A20" s="781" t="s">
        <v>588</v>
      </c>
      <c r="B20" s="780">
        <v>0.86109999999999998</v>
      </c>
      <c r="C20" s="780">
        <v>0.46389999999999998</v>
      </c>
      <c r="D20" s="780">
        <v>0.5222</v>
      </c>
      <c r="E20" s="780">
        <v>0.37780000000000002</v>
      </c>
      <c r="F20" s="779"/>
      <c r="G20" s="779"/>
      <c r="H20" s="779"/>
      <c r="I20" s="779">
        <v>0.44500000000000001</v>
      </c>
      <c r="J20" s="779">
        <v>0.89</v>
      </c>
      <c r="K20" s="791" t="s">
        <v>569</v>
      </c>
      <c r="L20" s="782">
        <v>2.2250000000000001</v>
      </c>
    </row>
    <row r="21" spans="1:12" x14ac:dyDescent="0.15">
      <c r="A21" s="781" t="s">
        <v>589</v>
      </c>
      <c r="B21" s="780">
        <v>2.1278000000000001</v>
      </c>
      <c r="C21" s="780">
        <v>0.34720000000000001</v>
      </c>
      <c r="D21" s="780">
        <v>1.2222</v>
      </c>
      <c r="E21" s="780">
        <v>1.9556</v>
      </c>
      <c r="F21" s="779"/>
      <c r="G21" s="779"/>
      <c r="H21" s="779"/>
      <c r="I21" s="779">
        <v>1.131</v>
      </c>
      <c r="J21" s="779">
        <v>2.2610000000000001</v>
      </c>
      <c r="K21" s="791" t="s">
        <v>569</v>
      </c>
      <c r="L21" s="782">
        <v>5.6528</v>
      </c>
    </row>
    <row r="22" spans="1:12" x14ac:dyDescent="0.15">
      <c r="A22" s="781" t="s">
        <v>590</v>
      </c>
      <c r="B22" s="780">
        <v>2.0861000000000001</v>
      </c>
      <c r="C22" s="780">
        <v>0.3417</v>
      </c>
      <c r="D22" s="780">
        <v>0.33329999999999999</v>
      </c>
      <c r="E22" s="780">
        <v>1.7194</v>
      </c>
      <c r="F22" s="779"/>
      <c r="G22" s="779"/>
      <c r="H22" s="779"/>
      <c r="I22" s="779">
        <v>0.89600000000000002</v>
      </c>
      <c r="J22" s="779">
        <v>1.792</v>
      </c>
      <c r="K22" s="791" t="s">
        <v>569</v>
      </c>
      <c r="L22" s="782">
        <v>4.4805999999999999</v>
      </c>
    </row>
    <row r="23" spans="1:12" x14ac:dyDescent="0.15">
      <c r="A23" s="781" t="s">
        <v>591</v>
      </c>
      <c r="B23" s="780">
        <v>2.9889000000000001</v>
      </c>
      <c r="C23" s="780">
        <v>0.34720000000000001</v>
      </c>
      <c r="D23" s="780">
        <v>0.50280000000000002</v>
      </c>
      <c r="E23" s="780">
        <v>2.0472000000000001</v>
      </c>
      <c r="F23" s="779"/>
      <c r="G23" s="779"/>
      <c r="H23" s="779"/>
      <c r="I23" s="779">
        <v>1.177</v>
      </c>
      <c r="J23" s="779">
        <v>2.3540000000000001</v>
      </c>
      <c r="K23" s="791" t="s">
        <v>569</v>
      </c>
      <c r="L23" s="782">
        <v>5.8860999999999999</v>
      </c>
    </row>
    <row r="24" spans="1:12" x14ac:dyDescent="0.15">
      <c r="A24" s="781" t="s">
        <v>559</v>
      </c>
      <c r="B24" s="780">
        <v>2.4458000000000002</v>
      </c>
      <c r="C24" s="780">
        <v>3.7016</v>
      </c>
      <c r="D24" s="780">
        <v>0.47939999999999999</v>
      </c>
      <c r="E24" s="780">
        <v>7.7003000000000004</v>
      </c>
      <c r="F24" s="795">
        <v>20321220</v>
      </c>
      <c r="G24" s="795">
        <v>8840449</v>
      </c>
      <c r="H24" s="796">
        <v>4.9100000000000001E-4</v>
      </c>
      <c r="I24" s="779"/>
      <c r="J24" s="779"/>
      <c r="K24" s="791" t="s">
        <v>568</v>
      </c>
      <c r="L24" s="782">
        <v>14.327199999999999</v>
      </c>
    </row>
    <row r="25" spans="1:12" x14ac:dyDescent="0.15">
      <c r="A25" s="781" t="s">
        <v>560</v>
      </c>
      <c r="B25" s="780">
        <v>6.1999999999999998E-3</v>
      </c>
      <c r="C25" s="780">
        <v>3.6839</v>
      </c>
      <c r="D25" s="780">
        <v>0.4501</v>
      </c>
      <c r="E25" s="780">
        <v>7.0991999999999997</v>
      </c>
      <c r="F25" s="795">
        <v>20965383</v>
      </c>
      <c r="G25" s="795">
        <v>13946977</v>
      </c>
      <c r="H25" s="796">
        <v>3.2200000000000002E-4</v>
      </c>
      <c r="I25" s="779"/>
      <c r="J25" s="779"/>
      <c r="K25" s="791" t="s">
        <v>568</v>
      </c>
      <c r="L25" s="782">
        <v>11.2394</v>
      </c>
    </row>
    <row r="26" spans="1:12" x14ac:dyDescent="0.15">
      <c r="A26" s="781" t="s">
        <v>561</v>
      </c>
      <c r="B26" s="780">
        <v>0.32219999999999999</v>
      </c>
      <c r="C26" s="780">
        <v>27.926200000000001</v>
      </c>
      <c r="D26" s="780">
        <v>9.8686000000000007</v>
      </c>
      <c r="E26" s="780">
        <v>88.280900000000003</v>
      </c>
      <c r="F26" s="795">
        <v>20817369</v>
      </c>
      <c r="G26" s="795">
        <v>25912563</v>
      </c>
      <c r="H26" s="796">
        <v>2.7049999999999999E-3</v>
      </c>
      <c r="I26" s="779"/>
      <c r="J26" s="779"/>
      <c r="K26" s="791" t="s">
        <v>568</v>
      </c>
      <c r="L26" s="782">
        <v>126.39790000000001</v>
      </c>
    </row>
    <row r="27" spans="1:12" x14ac:dyDescent="0.15">
      <c r="A27" s="781" t="s">
        <v>19</v>
      </c>
      <c r="B27" s="780">
        <v>56.675199999999997</v>
      </c>
      <c r="C27" s="780">
        <v>12.2585</v>
      </c>
      <c r="D27" s="780">
        <v>19.078700000000001</v>
      </c>
      <c r="E27" s="780">
        <v>78.225200000000001</v>
      </c>
      <c r="F27" s="795">
        <v>20977607</v>
      </c>
      <c r="G27" s="795">
        <v>63977724</v>
      </c>
      <c r="H27" s="796">
        <v>1.957E-3</v>
      </c>
      <c r="I27" s="779"/>
      <c r="J27" s="779"/>
      <c r="K27" s="791" t="s">
        <v>568</v>
      </c>
      <c r="L27" s="782">
        <v>166.23759999999999</v>
      </c>
    </row>
    <row r="28" spans="1:12" x14ac:dyDescent="0.15">
      <c r="A28" s="781" t="s">
        <v>562</v>
      </c>
      <c r="B28" s="780">
        <v>5.7202000000000002</v>
      </c>
      <c r="C28" s="780">
        <v>78.461299999999994</v>
      </c>
      <c r="D28" s="780">
        <v>64.462500000000006</v>
      </c>
      <c r="E28" s="780">
        <v>1005.4883</v>
      </c>
      <c r="F28" s="795">
        <v>12049618</v>
      </c>
      <c r="G28" s="795">
        <v>382702497</v>
      </c>
      <c r="H28" s="796">
        <v>2.9239999999999999E-3</v>
      </c>
      <c r="I28" s="779"/>
      <c r="J28" s="779"/>
      <c r="K28" s="791" t="s">
        <v>568</v>
      </c>
      <c r="L28" s="782">
        <v>1154.1323</v>
      </c>
    </row>
    <row r="29" spans="1:12" x14ac:dyDescent="0.15">
      <c r="A29" s="781" t="s">
        <v>563</v>
      </c>
      <c r="B29" s="780">
        <v>30.443899999999999</v>
      </c>
      <c r="C29" s="780">
        <v>23.2834</v>
      </c>
      <c r="D29" s="780">
        <v>4.0444000000000004</v>
      </c>
      <c r="E29" s="780">
        <v>151.89789999999999</v>
      </c>
      <c r="F29" s="795">
        <v>22659871</v>
      </c>
      <c r="G29" s="795">
        <v>12143915</v>
      </c>
      <c r="H29" s="796">
        <v>6.0239999999999998E-3</v>
      </c>
      <c r="I29" s="779"/>
      <c r="J29" s="779"/>
      <c r="K29" s="791" t="s">
        <v>568</v>
      </c>
      <c r="L29" s="782">
        <v>209.6696</v>
      </c>
    </row>
    <row r="30" spans="1:12" ht="14" thickBot="1" x14ac:dyDescent="0.2">
      <c r="A30" s="783" t="s">
        <v>564</v>
      </c>
      <c r="B30" s="794">
        <v>202.61940000000001</v>
      </c>
      <c r="C30" s="794">
        <v>79.185400000000001</v>
      </c>
      <c r="D30" s="794">
        <v>38.729900000000001</v>
      </c>
      <c r="E30" s="794">
        <v>187.59739999999999</v>
      </c>
      <c r="F30" s="818">
        <v>19765005</v>
      </c>
      <c r="G30" s="818">
        <v>13643569</v>
      </c>
      <c r="H30" s="819">
        <v>1.521E-2</v>
      </c>
      <c r="I30" s="784"/>
      <c r="J30" s="784"/>
      <c r="K30" s="792" t="s">
        <v>568</v>
      </c>
      <c r="L30" s="785">
        <v>508.13209999999998</v>
      </c>
    </row>
  </sheetData>
  <sortState xmlns:xlrd2="http://schemas.microsoft.com/office/spreadsheetml/2017/richdata2" ref="A2:L30">
    <sortCondition ref="A2:A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AFEA-4747-8140-93FA-361172EF36AD}">
  <dimension ref="B1:S36"/>
  <sheetViews>
    <sheetView workbookViewId="0">
      <selection activeCell="B13" sqref="B13:B15"/>
    </sheetView>
  </sheetViews>
  <sheetFormatPr baseColWidth="10" defaultRowHeight="13" x14ac:dyDescent="0.15"/>
  <cols>
    <col min="2" max="2" width="59.1640625" bestFit="1" customWidth="1"/>
    <col min="3" max="3" width="6.83203125" bestFit="1" customWidth="1"/>
    <col min="4" max="4" width="7.33203125" bestFit="1" customWidth="1"/>
    <col min="5" max="5" width="7.5" bestFit="1" customWidth="1"/>
    <col min="6" max="6" width="7.83203125" bestFit="1" customWidth="1"/>
    <col min="7" max="7" width="8.33203125" bestFit="1" customWidth="1"/>
    <col min="8" max="8" width="7.5" bestFit="1" customWidth="1"/>
    <col min="9" max="9" width="7" bestFit="1" customWidth="1"/>
    <col min="10" max="10" width="6.33203125" bestFit="1" customWidth="1"/>
    <col min="11" max="11" width="5.83203125" bestFit="1" customWidth="1"/>
    <col min="12" max="12" width="6" bestFit="1" customWidth="1"/>
    <col min="13" max="13" width="6.1640625" bestFit="1" customWidth="1"/>
    <col min="14" max="14" width="6.6640625" bestFit="1" customWidth="1"/>
    <col min="15" max="15" width="7" bestFit="1" customWidth="1"/>
    <col min="16" max="16" width="7.6640625" bestFit="1" customWidth="1"/>
    <col min="17" max="17" width="6.1640625" bestFit="1" customWidth="1"/>
    <col min="18" max="18" width="7.1640625" bestFit="1" customWidth="1"/>
    <col min="19" max="19" width="8" bestFit="1" customWidth="1"/>
  </cols>
  <sheetData>
    <row r="1" spans="2:19" x14ac:dyDescent="0.15">
      <c r="B1" s="745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</row>
    <row r="2" spans="2:19" x14ac:dyDescent="0.15">
      <c r="B2" s="745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</row>
    <row r="3" spans="2:19" x14ac:dyDescent="0.15">
      <c r="B3" s="745" t="s">
        <v>514</v>
      </c>
      <c r="C3">
        <v>80.3</v>
      </c>
      <c r="D3">
        <v>71.400000000000006</v>
      </c>
      <c r="E3">
        <v>64.099999999999994</v>
      </c>
      <c r="F3">
        <v>68</v>
      </c>
      <c r="G3">
        <v>74.900000000000006</v>
      </c>
      <c r="H3">
        <v>45.2</v>
      </c>
      <c r="I3">
        <v>64.3</v>
      </c>
      <c r="J3">
        <v>57</v>
      </c>
      <c r="K3">
        <v>39.1</v>
      </c>
      <c r="L3">
        <v>75.5</v>
      </c>
      <c r="M3">
        <v>63</v>
      </c>
      <c r="N3">
        <v>55.1</v>
      </c>
      <c r="O3">
        <v>67.5</v>
      </c>
      <c r="P3">
        <v>71.900000000000006</v>
      </c>
      <c r="Q3">
        <v>12032</v>
      </c>
      <c r="R3">
        <v>64.099999999999994</v>
      </c>
      <c r="S3">
        <v>1.1000000000000001</v>
      </c>
    </row>
    <row r="4" spans="2:19" x14ac:dyDescent="0.15">
      <c r="B4" s="745" t="s">
        <v>515</v>
      </c>
      <c r="C4">
        <v>84.4</v>
      </c>
      <c r="D4">
        <v>75.2</v>
      </c>
      <c r="E4">
        <v>70.400000000000006</v>
      </c>
      <c r="F4">
        <v>73.900000000000006</v>
      </c>
      <c r="G4">
        <v>77.5</v>
      </c>
      <c r="H4">
        <v>55.2</v>
      </c>
      <c r="I4">
        <v>70.900000000000006</v>
      </c>
      <c r="J4">
        <v>58.3</v>
      </c>
      <c r="K4">
        <v>44.3</v>
      </c>
      <c r="L4">
        <v>79.099999999999994</v>
      </c>
      <c r="M4">
        <v>66.099999999999994</v>
      </c>
      <c r="N4">
        <v>59.9</v>
      </c>
      <c r="O4">
        <v>72.3</v>
      </c>
      <c r="P4">
        <v>76.2</v>
      </c>
      <c r="Q4">
        <v>12032</v>
      </c>
      <c r="R4">
        <v>69</v>
      </c>
      <c r="S4">
        <v>0.4</v>
      </c>
    </row>
    <row r="5" spans="2:19" x14ac:dyDescent="0.15">
      <c r="B5" s="745" t="s">
        <v>516</v>
      </c>
      <c r="C5">
        <v>80.599999999999994</v>
      </c>
      <c r="D5">
        <v>43.2</v>
      </c>
      <c r="E5">
        <v>40.5</v>
      </c>
      <c r="F5">
        <v>55.4</v>
      </c>
      <c r="G5">
        <v>69.3</v>
      </c>
      <c r="H5">
        <v>47.5</v>
      </c>
      <c r="I5">
        <v>63.8</v>
      </c>
      <c r="J5">
        <v>61.7</v>
      </c>
      <c r="K5">
        <v>36.6</v>
      </c>
      <c r="L5">
        <v>49.5</v>
      </c>
      <c r="M5">
        <v>52.3</v>
      </c>
      <c r="N5">
        <v>53.5</v>
      </c>
      <c r="O5">
        <v>44.6</v>
      </c>
      <c r="P5">
        <v>70.900000000000006</v>
      </c>
      <c r="Q5">
        <v>12032</v>
      </c>
      <c r="R5">
        <v>53</v>
      </c>
      <c r="S5">
        <v>0</v>
      </c>
    </row>
    <row r="6" spans="2:19" x14ac:dyDescent="0.15">
      <c r="B6" s="745" t="s">
        <v>517</v>
      </c>
      <c r="C6">
        <v>58.2</v>
      </c>
      <c r="D6">
        <v>30.2</v>
      </c>
      <c r="E6">
        <v>20.7</v>
      </c>
      <c r="F6">
        <v>31.7</v>
      </c>
      <c r="G6">
        <v>40.200000000000003</v>
      </c>
      <c r="H6">
        <v>18.899999999999999</v>
      </c>
      <c r="I6">
        <v>35.1</v>
      </c>
      <c r="J6">
        <v>31</v>
      </c>
      <c r="K6">
        <v>19.2</v>
      </c>
      <c r="L6">
        <v>26</v>
      </c>
      <c r="M6">
        <v>32.9</v>
      </c>
      <c r="N6">
        <v>29.1</v>
      </c>
      <c r="O6">
        <v>22</v>
      </c>
      <c r="P6">
        <v>48.2</v>
      </c>
      <c r="Q6">
        <v>12032</v>
      </c>
      <c r="R6">
        <v>30.2</v>
      </c>
      <c r="S6">
        <v>0.7</v>
      </c>
    </row>
    <row r="7" spans="2:19" x14ac:dyDescent="0.15">
      <c r="B7" s="745" t="s">
        <v>518</v>
      </c>
      <c r="C7">
        <v>41.6</v>
      </c>
      <c r="D7">
        <v>14.6</v>
      </c>
      <c r="E7">
        <v>12.5</v>
      </c>
      <c r="F7">
        <v>21.2</v>
      </c>
      <c r="G7">
        <v>31.8</v>
      </c>
      <c r="H7">
        <v>14.9</v>
      </c>
      <c r="I7">
        <v>24.3</v>
      </c>
      <c r="J7">
        <v>24.1</v>
      </c>
      <c r="K7">
        <v>17.3</v>
      </c>
      <c r="L7">
        <v>13</v>
      </c>
      <c r="M7">
        <v>22.8</v>
      </c>
      <c r="N7">
        <v>20.8</v>
      </c>
      <c r="O7">
        <v>13.9</v>
      </c>
      <c r="P7">
        <v>35.5</v>
      </c>
      <c r="Q7">
        <v>12032</v>
      </c>
      <c r="R7">
        <v>20.7</v>
      </c>
      <c r="S7">
        <v>0.2</v>
      </c>
    </row>
    <row r="8" spans="2:19" x14ac:dyDescent="0.15">
      <c r="B8" s="745" t="s">
        <v>519</v>
      </c>
      <c r="C8">
        <v>55</v>
      </c>
      <c r="D8">
        <v>23.8</v>
      </c>
      <c r="E8">
        <v>19.2</v>
      </c>
      <c r="F8">
        <v>30.5</v>
      </c>
      <c r="G8">
        <v>37</v>
      </c>
      <c r="H8">
        <v>19.8</v>
      </c>
      <c r="I8">
        <v>30.6</v>
      </c>
      <c r="J8">
        <v>31</v>
      </c>
      <c r="K8">
        <v>19.3</v>
      </c>
      <c r="L8">
        <v>17.8</v>
      </c>
      <c r="M8">
        <v>27.7</v>
      </c>
      <c r="N8">
        <v>24</v>
      </c>
      <c r="O8">
        <v>18.2</v>
      </c>
      <c r="P8">
        <v>46</v>
      </c>
      <c r="Q8">
        <v>12032</v>
      </c>
      <c r="R8">
        <v>26.8</v>
      </c>
      <c r="S8">
        <v>0.6</v>
      </c>
    </row>
    <row r="9" spans="2:19" x14ac:dyDescent="0.15">
      <c r="B9" s="745" t="s">
        <v>520</v>
      </c>
      <c r="C9">
        <v>54.3</v>
      </c>
      <c r="D9">
        <v>30.4</v>
      </c>
      <c r="E9">
        <v>18.600000000000001</v>
      </c>
      <c r="F9">
        <v>27.6</v>
      </c>
      <c r="G9">
        <v>37.299999999999997</v>
      </c>
      <c r="H9">
        <v>15.7</v>
      </c>
      <c r="I9">
        <v>37.299999999999997</v>
      </c>
      <c r="J9">
        <v>32.799999999999997</v>
      </c>
      <c r="K9">
        <v>18.3</v>
      </c>
      <c r="L9">
        <v>28.3</v>
      </c>
      <c r="M9">
        <v>32.6</v>
      </c>
      <c r="N9">
        <v>32.299999999999997</v>
      </c>
      <c r="O9">
        <v>24.5</v>
      </c>
      <c r="P9">
        <v>44.1</v>
      </c>
      <c r="Q9">
        <v>12032</v>
      </c>
      <c r="R9">
        <v>29.6</v>
      </c>
      <c r="S9">
        <v>8.4</v>
      </c>
    </row>
    <row r="10" spans="2:19" x14ac:dyDescent="0.15">
      <c r="B10" s="745" t="s">
        <v>521</v>
      </c>
      <c r="C10">
        <v>44.8</v>
      </c>
      <c r="D10">
        <v>15.8</v>
      </c>
      <c r="E10">
        <v>14.6</v>
      </c>
      <c r="F10">
        <v>23.4</v>
      </c>
      <c r="G10">
        <v>31.8</v>
      </c>
      <c r="H10">
        <v>19</v>
      </c>
      <c r="I10">
        <v>26.5</v>
      </c>
      <c r="J10">
        <v>22.6</v>
      </c>
      <c r="K10">
        <v>18.399999999999999</v>
      </c>
      <c r="L10">
        <v>14.7</v>
      </c>
      <c r="M10">
        <v>21.6</v>
      </c>
      <c r="N10">
        <v>21.2</v>
      </c>
      <c r="O10">
        <v>15.2</v>
      </c>
      <c r="P10">
        <v>39.1</v>
      </c>
      <c r="Q10">
        <v>12032</v>
      </c>
      <c r="R10">
        <v>22.3</v>
      </c>
      <c r="S10">
        <v>0.4</v>
      </c>
    </row>
    <row r="11" spans="2:19" x14ac:dyDescent="0.15">
      <c r="B11" s="745" t="s">
        <v>522</v>
      </c>
      <c r="C11">
        <v>46.2</v>
      </c>
      <c r="D11">
        <v>24.6</v>
      </c>
      <c r="E11">
        <v>20.100000000000001</v>
      </c>
      <c r="F11">
        <v>29.3</v>
      </c>
      <c r="G11">
        <v>34.1</v>
      </c>
      <c r="H11">
        <v>19.2</v>
      </c>
      <c r="I11">
        <v>36.6</v>
      </c>
      <c r="J11">
        <v>26</v>
      </c>
      <c r="K11">
        <v>19.8</v>
      </c>
      <c r="L11">
        <v>23</v>
      </c>
      <c r="M11">
        <v>28.7</v>
      </c>
      <c r="N11">
        <v>28.3</v>
      </c>
      <c r="O11">
        <v>24.4</v>
      </c>
      <c r="P11">
        <v>41.6</v>
      </c>
      <c r="Q11">
        <v>12032</v>
      </c>
      <c r="R11">
        <v>27.7</v>
      </c>
      <c r="S11">
        <v>5.3</v>
      </c>
    </row>
    <row r="12" spans="2:19" x14ac:dyDescent="0.15">
      <c r="B12" s="745" t="s">
        <v>523</v>
      </c>
      <c r="C12">
        <v>44.4</v>
      </c>
      <c r="D12">
        <v>23.2</v>
      </c>
      <c r="E12">
        <v>14</v>
      </c>
      <c r="F12">
        <v>18.5</v>
      </c>
      <c r="G12">
        <v>33.5</v>
      </c>
      <c r="H12">
        <v>16.2</v>
      </c>
      <c r="I12">
        <v>33.1</v>
      </c>
      <c r="J12">
        <v>24.1</v>
      </c>
      <c r="K12">
        <v>16.600000000000001</v>
      </c>
      <c r="L12">
        <v>15.3</v>
      </c>
      <c r="M12">
        <v>24.4</v>
      </c>
      <c r="N12">
        <v>23.8</v>
      </c>
      <c r="O12">
        <v>17.600000000000001</v>
      </c>
      <c r="P12">
        <v>38.700000000000003</v>
      </c>
      <c r="Q12">
        <v>12032</v>
      </c>
      <c r="R12">
        <v>23.3</v>
      </c>
      <c r="S12">
        <v>19.5</v>
      </c>
    </row>
    <row r="13" spans="2:19" x14ac:dyDescent="0.15">
      <c r="B13" s="745" t="s">
        <v>524</v>
      </c>
      <c r="C13">
        <v>72</v>
      </c>
      <c r="D13">
        <v>54.1</v>
      </c>
      <c r="E13">
        <v>43</v>
      </c>
      <c r="F13">
        <v>56.6</v>
      </c>
      <c r="G13">
        <v>64.099999999999994</v>
      </c>
      <c r="H13">
        <v>40.200000000000003</v>
      </c>
      <c r="I13">
        <v>54.2</v>
      </c>
      <c r="J13">
        <v>46.2</v>
      </c>
      <c r="K13">
        <v>27.5</v>
      </c>
      <c r="L13">
        <v>56.9</v>
      </c>
      <c r="M13">
        <v>53.6</v>
      </c>
      <c r="N13">
        <v>48.5</v>
      </c>
      <c r="O13">
        <v>46.6</v>
      </c>
      <c r="P13">
        <v>64</v>
      </c>
      <c r="Q13">
        <v>12032</v>
      </c>
      <c r="R13">
        <v>51</v>
      </c>
      <c r="S13">
        <v>0.8</v>
      </c>
    </row>
    <row r="14" spans="2:19" x14ac:dyDescent="0.15">
      <c r="B14" s="745" t="s">
        <v>525</v>
      </c>
      <c r="C14">
        <v>70.3</v>
      </c>
      <c r="D14">
        <v>55.6</v>
      </c>
      <c r="E14">
        <v>43.1</v>
      </c>
      <c r="F14">
        <v>56.8</v>
      </c>
      <c r="G14">
        <v>63</v>
      </c>
      <c r="H14">
        <v>36.200000000000003</v>
      </c>
      <c r="I14">
        <v>55.5</v>
      </c>
      <c r="J14">
        <v>47.5</v>
      </c>
      <c r="K14">
        <v>27.3</v>
      </c>
      <c r="L14">
        <v>54.9</v>
      </c>
      <c r="M14">
        <v>51.7</v>
      </c>
      <c r="N14">
        <v>47.9</v>
      </c>
      <c r="O14">
        <v>43.8</v>
      </c>
      <c r="P14">
        <v>65.900000000000006</v>
      </c>
      <c r="Q14">
        <v>12032</v>
      </c>
      <c r="R14">
        <v>50.2</v>
      </c>
      <c r="S14">
        <v>0.4</v>
      </c>
    </row>
    <row r="15" spans="2:19" x14ac:dyDescent="0.15">
      <c r="B15" s="745" t="s">
        <v>526</v>
      </c>
      <c r="C15">
        <v>71.400000000000006</v>
      </c>
      <c r="D15">
        <v>56.1</v>
      </c>
      <c r="E15">
        <v>44.8</v>
      </c>
      <c r="F15">
        <v>52.9</v>
      </c>
      <c r="G15">
        <v>62.3</v>
      </c>
      <c r="H15">
        <v>40.6</v>
      </c>
      <c r="I15">
        <v>53.7</v>
      </c>
      <c r="J15">
        <v>47</v>
      </c>
      <c r="K15">
        <v>28.9</v>
      </c>
      <c r="L15">
        <v>57.2</v>
      </c>
      <c r="M15">
        <v>53.2</v>
      </c>
      <c r="N15">
        <v>47.9</v>
      </c>
      <c r="O15">
        <v>46.1</v>
      </c>
      <c r="P15">
        <v>63.3</v>
      </c>
      <c r="Q15">
        <v>12032</v>
      </c>
      <c r="R15">
        <v>51</v>
      </c>
      <c r="S15">
        <v>0.9</v>
      </c>
    </row>
    <row r="16" spans="2:19" x14ac:dyDescent="0.15">
      <c r="B16" s="745" t="s">
        <v>527</v>
      </c>
      <c r="C16">
        <v>79.099999999999994</v>
      </c>
      <c r="D16">
        <v>60.5</v>
      </c>
      <c r="E16">
        <v>52.4</v>
      </c>
      <c r="F16">
        <v>63.4</v>
      </c>
      <c r="G16">
        <v>72.3</v>
      </c>
      <c r="H16">
        <v>50.3</v>
      </c>
      <c r="I16">
        <v>63.8</v>
      </c>
      <c r="J16">
        <v>54.6</v>
      </c>
      <c r="K16">
        <v>37.799999999999997</v>
      </c>
      <c r="L16">
        <v>63.1</v>
      </c>
      <c r="M16">
        <v>59.1</v>
      </c>
      <c r="N16">
        <v>59.3</v>
      </c>
      <c r="O16">
        <v>55</v>
      </c>
      <c r="P16">
        <v>71.900000000000006</v>
      </c>
      <c r="Q16">
        <v>12032</v>
      </c>
      <c r="R16">
        <v>59.2</v>
      </c>
      <c r="S16">
        <v>0.3</v>
      </c>
    </row>
    <row r="17" spans="2:19" x14ac:dyDescent="0.15">
      <c r="B17" s="745" t="s">
        <v>528</v>
      </c>
      <c r="C17">
        <v>77.400000000000006</v>
      </c>
      <c r="D17">
        <v>49</v>
      </c>
      <c r="E17">
        <v>39.200000000000003</v>
      </c>
      <c r="F17">
        <v>61.7</v>
      </c>
      <c r="G17">
        <v>69.3</v>
      </c>
      <c r="H17">
        <v>40.4</v>
      </c>
      <c r="I17">
        <v>64.5</v>
      </c>
      <c r="J17">
        <v>54.1</v>
      </c>
      <c r="K17">
        <v>41</v>
      </c>
      <c r="L17">
        <v>53.9</v>
      </c>
      <c r="M17">
        <v>56.2</v>
      </c>
      <c r="N17">
        <v>57.5</v>
      </c>
      <c r="O17">
        <v>46</v>
      </c>
      <c r="P17">
        <v>73.8</v>
      </c>
      <c r="Q17">
        <v>12032</v>
      </c>
      <c r="R17">
        <v>54.2</v>
      </c>
      <c r="S17">
        <v>0.2</v>
      </c>
    </row>
    <row r="18" spans="2:19" x14ac:dyDescent="0.15">
      <c r="B18" s="745" t="s">
        <v>529</v>
      </c>
      <c r="C18">
        <v>78.2</v>
      </c>
      <c r="D18">
        <v>56.5</v>
      </c>
      <c r="E18">
        <v>47.7</v>
      </c>
      <c r="F18">
        <v>63.2</v>
      </c>
      <c r="G18">
        <v>72</v>
      </c>
      <c r="H18">
        <v>48</v>
      </c>
      <c r="I18">
        <v>66.900000000000006</v>
      </c>
      <c r="J18">
        <v>55.1</v>
      </c>
      <c r="K18">
        <v>35.6</v>
      </c>
      <c r="L18">
        <v>60.5</v>
      </c>
      <c r="M18">
        <v>59.1</v>
      </c>
      <c r="N18">
        <v>59.5</v>
      </c>
      <c r="O18">
        <v>49.1</v>
      </c>
      <c r="P18">
        <v>72.400000000000006</v>
      </c>
      <c r="Q18">
        <v>12032</v>
      </c>
      <c r="R18">
        <v>57.4</v>
      </c>
      <c r="S18">
        <v>0.2</v>
      </c>
    </row>
    <row r="19" spans="2:19" x14ac:dyDescent="0.15">
      <c r="B19" s="745" t="s">
        <v>530</v>
      </c>
      <c r="C19">
        <v>77.099999999999994</v>
      </c>
      <c r="D19">
        <v>48.8</v>
      </c>
      <c r="E19">
        <v>40.1</v>
      </c>
      <c r="F19">
        <v>62.2</v>
      </c>
      <c r="G19">
        <v>71</v>
      </c>
      <c r="H19">
        <v>41.3</v>
      </c>
      <c r="I19">
        <v>66.400000000000006</v>
      </c>
      <c r="J19">
        <v>54.3</v>
      </c>
      <c r="K19">
        <v>40.4</v>
      </c>
      <c r="L19">
        <v>54.8</v>
      </c>
      <c r="M19">
        <v>55.5</v>
      </c>
      <c r="N19">
        <v>60.3</v>
      </c>
      <c r="O19">
        <v>45.8</v>
      </c>
      <c r="P19">
        <v>72.7</v>
      </c>
      <c r="Q19">
        <v>12032</v>
      </c>
      <c r="R19">
        <v>54.6</v>
      </c>
      <c r="S19">
        <v>0.2</v>
      </c>
    </row>
    <row r="20" spans="2:19" x14ac:dyDescent="0.15">
      <c r="B20" s="745" t="s">
        <v>531</v>
      </c>
      <c r="C20">
        <v>79.900000000000006</v>
      </c>
      <c r="D20">
        <v>59.7</v>
      </c>
      <c r="E20">
        <v>50.8</v>
      </c>
      <c r="F20">
        <v>64.900000000000006</v>
      </c>
      <c r="G20">
        <v>71.7</v>
      </c>
      <c r="H20">
        <v>50.3</v>
      </c>
      <c r="I20">
        <v>63.9</v>
      </c>
      <c r="J20">
        <v>54.6</v>
      </c>
      <c r="K20">
        <v>35.299999999999997</v>
      </c>
      <c r="L20">
        <v>60.9</v>
      </c>
      <c r="M20">
        <v>58.5</v>
      </c>
      <c r="N20">
        <v>58.1</v>
      </c>
      <c r="O20">
        <v>52.3</v>
      </c>
      <c r="P20">
        <v>71.2</v>
      </c>
      <c r="Q20">
        <v>12032</v>
      </c>
      <c r="R20">
        <v>58.2</v>
      </c>
      <c r="S20">
        <v>0.2</v>
      </c>
    </row>
    <row r="21" spans="2:19" x14ac:dyDescent="0.15">
      <c r="B21" s="745" t="s">
        <v>532</v>
      </c>
      <c r="C21">
        <v>78</v>
      </c>
      <c r="D21">
        <v>62</v>
      </c>
      <c r="E21">
        <v>56.2</v>
      </c>
      <c r="F21">
        <v>58.8</v>
      </c>
      <c r="G21">
        <v>71.3</v>
      </c>
      <c r="H21">
        <v>53.6</v>
      </c>
      <c r="I21">
        <v>65.3</v>
      </c>
      <c r="J21">
        <v>54.3</v>
      </c>
      <c r="K21">
        <v>34.700000000000003</v>
      </c>
      <c r="L21">
        <v>64.400000000000006</v>
      </c>
      <c r="M21">
        <v>55.8</v>
      </c>
      <c r="N21">
        <v>52.1</v>
      </c>
      <c r="O21">
        <v>56.7</v>
      </c>
      <c r="P21">
        <v>68.3</v>
      </c>
      <c r="Q21">
        <v>12032</v>
      </c>
      <c r="R21">
        <v>59</v>
      </c>
      <c r="S21">
        <v>1.4</v>
      </c>
    </row>
    <row r="22" spans="2:19" x14ac:dyDescent="0.15">
      <c r="B22" s="745" t="s">
        <v>533</v>
      </c>
      <c r="C22">
        <v>80.599999999999994</v>
      </c>
      <c r="D22">
        <v>43.2</v>
      </c>
      <c r="E22">
        <v>40.5</v>
      </c>
      <c r="F22">
        <v>55.9</v>
      </c>
      <c r="G22">
        <v>69.3</v>
      </c>
      <c r="H22">
        <v>47.6</v>
      </c>
      <c r="I22">
        <v>63.8</v>
      </c>
      <c r="J22">
        <v>61.7</v>
      </c>
      <c r="K22">
        <v>36.6</v>
      </c>
      <c r="L22">
        <v>49.4</v>
      </c>
      <c r="M22">
        <v>52.2</v>
      </c>
      <c r="N22">
        <v>53.5</v>
      </c>
      <c r="O22">
        <v>44.9</v>
      </c>
      <c r="P22">
        <v>70.900000000000006</v>
      </c>
      <c r="Q22">
        <v>12032</v>
      </c>
      <c r="R22">
        <v>53</v>
      </c>
      <c r="S22">
        <v>0</v>
      </c>
    </row>
    <row r="23" spans="2:19" x14ac:dyDescent="0.15">
      <c r="B23" s="745" t="s">
        <v>534</v>
      </c>
      <c r="C23">
        <v>76</v>
      </c>
      <c r="D23">
        <v>65</v>
      </c>
      <c r="E23">
        <v>57.2</v>
      </c>
      <c r="F23">
        <v>58.3</v>
      </c>
      <c r="G23">
        <v>69</v>
      </c>
      <c r="H23">
        <v>48.7</v>
      </c>
      <c r="I23">
        <v>63.8</v>
      </c>
      <c r="J23">
        <v>51.4</v>
      </c>
      <c r="K23">
        <v>33.200000000000003</v>
      </c>
      <c r="L23">
        <v>64.599999999999994</v>
      </c>
      <c r="M23">
        <v>57.3</v>
      </c>
      <c r="N23">
        <v>53.5</v>
      </c>
      <c r="O23">
        <v>58.7</v>
      </c>
      <c r="P23">
        <v>66</v>
      </c>
      <c r="Q23">
        <v>12032</v>
      </c>
      <c r="R23">
        <v>58.5</v>
      </c>
      <c r="S23">
        <v>1.3</v>
      </c>
    </row>
    <row r="24" spans="2:19" x14ac:dyDescent="0.15">
      <c r="B24" s="745" t="s">
        <v>535</v>
      </c>
      <c r="C24">
        <v>80.5</v>
      </c>
      <c r="D24">
        <v>59.8</v>
      </c>
      <c r="E24">
        <v>54.3</v>
      </c>
      <c r="F24">
        <v>59.3</v>
      </c>
      <c r="G24">
        <v>69.8</v>
      </c>
      <c r="H24">
        <v>47.9</v>
      </c>
      <c r="I24">
        <v>63.7</v>
      </c>
      <c r="J24">
        <v>53.8</v>
      </c>
      <c r="K24">
        <v>33.299999999999997</v>
      </c>
      <c r="L24">
        <v>62.8</v>
      </c>
      <c r="M24">
        <v>56</v>
      </c>
      <c r="N24">
        <v>52.1</v>
      </c>
      <c r="O24">
        <v>56</v>
      </c>
      <c r="P24">
        <v>68.2</v>
      </c>
      <c r="Q24">
        <v>12032</v>
      </c>
      <c r="R24">
        <v>57.8</v>
      </c>
      <c r="S24">
        <v>1.3</v>
      </c>
    </row>
    <row r="25" spans="2:19" x14ac:dyDescent="0.15">
      <c r="B25" s="745" t="s">
        <v>536</v>
      </c>
      <c r="C25">
        <v>79.099999999999994</v>
      </c>
      <c r="D25">
        <v>63.4</v>
      </c>
      <c r="E25">
        <v>55.9</v>
      </c>
      <c r="F25">
        <v>56.3</v>
      </c>
      <c r="G25">
        <v>70</v>
      </c>
      <c r="H25">
        <v>50.4</v>
      </c>
      <c r="I25">
        <v>62.8</v>
      </c>
      <c r="J25">
        <v>55.6</v>
      </c>
      <c r="K25">
        <v>34</v>
      </c>
      <c r="L25">
        <v>63</v>
      </c>
      <c r="M25">
        <v>55.4</v>
      </c>
      <c r="N25">
        <v>51.1</v>
      </c>
      <c r="O25">
        <v>59.7</v>
      </c>
      <c r="P25">
        <v>66.5</v>
      </c>
      <c r="Q25">
        <v>12032</v>
      </c>
      <c r="R25">
        <v>58.5</v>
      </c>
      <c r="S25">
        <v>1.9</v>
      </c>
    </row>
    <row r="26" spans="2:19" x14ac:dyDescent="0.15">
      <c r="B26" s="745" t="s">
        <v>537</v>
      </c>
      <c r="C26" t="s">
        <v>538</v>
      </c>
      <c r="D26">
        <v>78.3</v>
      </c>
      <c r="E26" t="s">
        <v>538</v>
      </c>
      <c r="F26" t="s">
        <v>538</v>
      </c>
      <c r="G26" t="s">
        <v>538</v>
      </c>
      <c r="H26" t="s">
        <v>538</v>
      </c>
      <c r="I26" t="s">
        <v>538</v>
      </c>
      <c r="J26" t="s">
        <v>538</v>
      </c>
      <c r="K26" t="s">
        <v>538</v>
      </c>
      <c r="L26" t="s">
        <v>538</v>
      </c>
      <c r="M26" t="s">
        <v>538</v>
      </c>
      <c r="N26" t="s">
        <v>538</v>
      </c>
      <c r="O26" t="s">
        <v>538</v>
      </c>
      <c r="P26" t="s">
        <v>538</v>
      </c>
      <c r="Q26">
        <v>23</v>
      </c>
      <c r="R26">
        <v>78.3</v>
      </c>
      <c r="S26">
        <v>0</v>
      </c>
    </row>
    <row r="27" spans="2:19" x14ac:dyDescent="0.15">
      <c r="B27" s="745" t="s">
        <v>539</v>
      </c>
      <c r="C27">
        <v>91.2</v>
      </c>
      <c r="D27">
        <v>87.5</v>
      </c>
      <c r="E27">
        <v>86.5</v>
      </c>
      <c r="F27">
        <v>85.6</v>
      </c>
      <c r="G27">
        <v>87.9</v>
      </c>
      <c r="H27">
        <v>69.2</v>
      </c>
      <c r="I27">
        <v>80.400000000000006</v>
      </c>
      <c r="J27">
        <v>73.8</v>
      </c>
      <c r="K27">
        <v>67</v>
      </c>
      <c r="L27">
        <v>90.9</v>
      </c>
      <c r="M27">
        <v>80.5</v>
      </c>
      <c r="N27">
        <v>81</v>
      </c>
      <c r="O27">
        <v>87.2</v>
      </c>
      <c r="P27">
        <v>82.7</v>
      </c>
      <c r="Q27">
        <v>12032</v>
      </c>
      <c r="R27">
        <v>82.6</v>
      </c>
      <c r="S27">
        <v>0.3</v>
      </c>
    </row>
    <row r="28" spans="2:19" x14ac:dyDescent="0.15">
      <c r="B28" s="745" t="s">
        <v>540</v>
      </c>
      <c r="C28">
        <v>89.5</v>
      </c>
      <c r="D28">
        <v>83.8</v>
      </c>
      <c r="E28">
        <v>77.8</v>
      </c>
      <c r="F28">
        <v>82.9</v>
      </c>
      <c r="G28">
        <v>85.4</v>
      </c>
      <c r="H28">
        <v>56.3</v>
      </c>
      <c r="I28">
        <v>78.2</v>
      </c>
      <c r="J28">
        <v>73.8</v>
      </c>
      <c r="K28">
        <v>64.7</v>
      </c>
      <c r="L28">
        <v>87.7</v>
      </c>
      <c r="M28">
        <v>80.8</v>
      </c>
      <c r="N28">
        <v>82</v>
      </c>
      <c r="O28">
        <v>81.599999999999994</v>
      </c>
      <c r="P28">
        <v>86.2</v>
      </c>
      <c r="Q28">
        <v>12032</v>
      </c>
      <c r="R28">
        <v>79.099999999999994</v>
      </c>
      <c r="S28">
        <v>0.9</v>
      </c>
    </row>
    <row r="29" spans="2:19" x14ac:dyDescent="0.15">
      <c r="B29" s="745" t="s">
        <v>541</v>
      </c>
      <c r="C29">
        <v>64.2</v>
      </c>
      <c r="D29">
        <v>49.2</v>
      </c>
      <c r="E29">
        <v>35.9</v>
      </c>
      <c r="F29">
        <v>47.3</v>
      </c>
      <c r="G29">
        <v>52.5</v>
      </c>
      <c r="H29">
        <v>26.4</v>
      </c>
      <c r="I29">
        <v>47.2</v>
      </c>
      <c r="J29">
        <v>39.6</v>
      </c>
      <c r="K29">
        <v>25.9</v>
      </c>
      <c r="L29">
        <v>48.9</v>
      </c>
      <c r="M29">
        <v>45.8</v>
      </c>
      <c r="N29">
        <v>37.299999999999997</v>
      </c>
      <c r="O29">
        <v>38.200000000000003</v>
      </c>
      <c r="P29">
        <v>58.6</v>
      </c>
      <c r="Q29">
        <v>12032</v>
      </c>
      <c r="R29">
        <v>43.2</v>
      </c>
      <c r="S29">
        <v>1.1000000000000001</v>
      </c>
    </row>
    <row r="30" spans="2:19" x14ac:dyDescent="0.15">
      <c r="B30" s="745" t="s">
        <v>542</v>
      </c>
      <c r="C30">
        <v>91.2</v>
      </c>
      <c r="D30">
        <v>87.8</v>
      </c>
      <c r="E30">
        <v>87.9</v>
      </c>
      <c r="F30">
        <v>85.1</v>
      </c>
      <c r="G30">
        <v>86</v>
      </c>
      <c r="H30">
        <v>72.3</v>
      </c>
      <c r="I30">
        <v>78</v>
      </c>
      <c r="J30">
        <v>72.7</v>
      </c>
      <c r="K30">
        <v>67.8</v>
      </c>
      <c r="L30">
        <v>87.3</v>
      </c>
      <c r="M30">
        <v>80</v>
      </c>
      <c r="N30">
        <v>78</v>
      </c>
      <c r="O30">
        <v>86.7</v>
      </c>
      <c r="P30">
        <v>83.2</v>
      </c>
      <c r="Q30">
        <v>12032</v>
      </c>
      <c r="R30">
        <v>82.1</v>
      </c>
      <c r="S30">
        <v>0.7</v>
      </c>
    </row>
    <row r="31" spans="2:19" x14ac:dyDescent="0.15">
      <c r="B31" s="745" t="s">
        <v>543</v>
      </c>
      <c r="C31">
        <v>94.7</v>
      </c>
      <c r="D31">
        <v>92.3</v>
      </c>
      <c r="E31">
        <v>92.5</v>
      </c>
      <c r="F31">
        <v>88.3</v>
      </c>
      <c r="G31">
        <v>91.6</v>
      </c>
      <c r="H31">
        <v>88.1</v>
      </c>
      <c r="I31">
        <v>82.5</v>
      </c>
      <c r="J31">
        <v>80.599999999999994</v>
      </c>
      <c r="K31">
        <v>78.599999999999994</v>
      </c>
      <c r="L31">
        <v>96.2</v>
      </c>
      <c r="M31">
        <v>86</v>
      </c>
      <c r="N31">
        <v>86.2</v>
      </c>
      <c r="O31">
        <v>92.5</v>
      </c>
      <c r="P31">
        <v>89.1</v>
      </c>
      <c r="Q31">
        <v>12032</v>
      </c>
      <c r="R31">
        <v>89.2</v>
      </c>
      <c r="S31">
        <v>0.1</v>
      </c>
    </row>
    <row r="32" spans="2:19" x14ac:dyDescent="0.15">
      <c r="B32" s="745" t="s">
        <v>544</v>
      </c>
      <c r="C32">
        <v>91.1</v>
      </c>
      <c r="D32">
        <v>82.9</v>
      </c>
      <c r="E32">
        <v>84.6</v>
      </c>
      <c r="F32">
        <v>83.7</v>
      </c>
      <c r="G32">
        <v>85</v>
      </c>
      <c r="H32">
        <v>67.400000000000006</v>
      </c>
      <c r="I32">
        <v>78.5</v>
      </c>
      <c r="J32">
        <v>72.7</v>
      </c>
      <c r="K32">
        <v>68.8</v>
      </c>
      <c r="L32">
        <v>91.1</v>
      </c>
      <c r="M32">
        <v>78.8</v>
      </c>
      <c r="N32">
        <v>80.400000000000006</v>
      </c>
      <c r="O32">
        <v>83.8</v>
      </c>
      <c r="P32">
        <v>85.7</v>
      </c>
      <c r="Q32">
        <v>12032</v>
      </c>
      <c r="R32">
        <v>81.3</v>
      </c>
      <c r="S32">
        <v>0.2</v>
      </c>
    </row>
    <row r="33" spans="2:19" x14ac:dyDescent="0.15">
      <c r="B33" s="745" t="s">
        <v>545</v>
      </c>
      <c r="C33">
        <v>93</v>
      </c>
      <c r="D33">
        <v>91.3</v>
      </c>
      <c r="E33">
        <v>90.4</v>
      </c>
      <c r="F33">
        <v>88.5</v>
      </c>
      <c r="G33">
        <v>89.3</v>
      </c>
      <c r="H33">
        <v>82</v>
      </c>
      <c r="I33">
        <v>81.400000000000006</v>
      </c>
      <c r="J33">
        <v>75.099999999999994</v>
      </c>
      <c r="K33">
        <v>75.7</v>
      </c>
      <c r="L33">
        <v>93.3</v>
      </c>
      <c r="M33">
        <v>82.1</v>
      </c>
      <c r="N33">
        <v>84.2</v>
      </c>
      <c r="O33">
        <v>89.8</v>
      </c>
      <c r="P33">
        <v>86</v>
      </c>
      <c r="Q33">
        <v>12032</v>
      </c>
      <c r="R33">
        <v>86.4</v>
      </c>
      <c r="S33">
        <v>0.3</v>
      </c>
    </row>
    <row r="34" spans="2:19" x14ac:dyDescent="0.15">
      <c r="B34" s="745" t="s">
        <v>546</v>
      </c>
      <c r="C34">
        <v>94</v>
      </c>
      <c r="D34">
        <v>92.3</v>
      </c>
      <c r="E34">
        <v>90.7</v>
      </c>
      <c r="F34">
        <v>89</v>
      </c>
      <c r="G34">
        <v>90.2</v>
      </c>
      <c r="H34">
        <v>84.7</v>
      </c>
      <c r="I34">
        <v>84.1</v>
      </c>
      <c r="J34">
        <v>80.3</v>
      </c>
      <c r="K34">
        <v>78.7</v>
      </c>
      <c r="L34">
        <v>95</v>
      </c>
      <c r="M34">
        <v>84.4</v>
      </c>
      <c r="N34">
        <v>86.6</v>
      </c>
      <c r="O34">
        <v>91.3</v>
      </c>
      <c r="P34">
        <v>88</v>
      </c>
      <c r="Q34">
        <v>12032</v>
      </c>
      <c r="R34">
        <v>88.3</v>
      </c>
      <c r="S34">
        <v>0.2</v>
      </c>
    </row>
    <row r="35" spans="2:19" x14ac:dyDescent="0.15">
      <c r="B35" s="745" t="s">
        <v>547</v>
      </c>
      <c r="C35">
        <v>68.599999999999994</v>
      </c>
      <c r="D35">
        <v>51.8</v>
      </c>
      <c r="E35">
        <v>42.8</v>
      </c>
      <c r="F35">
        <v>48.8</v>
      </c>
      <c r="G35">
        <v>57.6</v>
      </c>
      <c r="H35">
        <v>28.2</v>
      </c>
      <c r="I35">
        <v>58.9</v>
      </c>
      <c r="J35">
        <v>46.2</v>
      </c>
      <c r="K35">
        <v>31.2</v>
      </c>
      <c r="L35">
        <v>52.3</v>
      </c>
      <c r="M35">
        <v>50.4</v>
      </c>
      <c r="N35">
        <v>40.5</v>
      </c>
      <c r="O35">
        <v>43.8</v>
      </c>
      <c r="P35">
        <v>64.8</v>
      </c>
      <c r="Q35">
        <v>12032</v>
      </c>
      <c r="R35">
        <v>48.3</v>
      </c>
      <c r="S35">
        <v>7.3</v>
      </c>
    </row>
    <row r="36" spans="2:19" x14ac:dyDescent="0.15">
      <c r="B36" s="745" t="s">
        <v>548</v>
      </c>
      <c r="C36">
        <v>88.3</v>
      </c>
      <c r="D36">
        <v>82</v>
      </c>
      <c r="E36">
        <v>82.8</v>
      </c>
      <c r="F36">
        <v>83.7</v>
      </c>
      <c r="G36">
        <v>84.7</v>
      </c>
      <c r="H36">
        <v>58.7</v>
      </c>
      <c r="I36">
        <v>75.8</v>
      </c>
      <c r="J36">
        <v>65.599999999999994</v>
      </c>
      <c r="K36">
        <v>56.1</v>
      </c>
      <c r="L36">
        <v>90.9</v>
      </c>
      <c r="M36">
        <v>74.8</v>
      </c>
      <c r="N36">
        <v>71.900000000000006</v>
      </c>
      <c r="O36">
        <v>84.4</v>
      </c>
      <c r="P36">
        <v>78.7</v>
      </c>
      <c r="Q36">
        <v>12032</v>
      </c>
      <c r="R36">
        <v>77.599999999999994</v>
      </c>
      <c r="S36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EC7-369C-2F48-9987-FCC64621282A}">
  <sheetPr>
    <outlinePr summaryBelow="0" summaryRight="0"/>
  </sheetPr>
  <dimension ref="A1:AD27"/>
  <sheetViews>
    <sheetView zoomScale="140" zoomScaleNormal="140" workbookViewId="0">
      <selection activeCell="N25" sqref="N25:P25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426" t="s">
        <v>384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8"/>
      <c r="T1" s="426" t="s">
        <v>378</v>
      </c>
      <c r="U1" s="427"/>
      <c r="V1" s="427"/>
      <c r="W1" s="427"/>
      <c r="X1" s="427"/>
      <c r="Y1" s="426" t="s">
        <v>399</v>
      </c>
      <c r="Z1" s="429"/>
      <c r="AA1" s="430"/>
      <c r="AB1" s="431" t="s">
        <v>385</v>
      </c>
      <c r="AC1" s="431" t="s">
        <v>393</v>
      </c>
    </row>
    <row r="2" spans="1:30" ht="15" thickBot="1" x14ac:dyDescent="0.25">
      <c r="A2" s="434" t="s">
        <v>0</v>
      </c>
      <c r="B2" s="437" t="s">
        <v>1</v>
      </c>
      <c r="C2" s="398" t="s">
        <v>485</v>
      </c>
      <c r="D2" s="103" t="s">
        <v>2</v>
      </c>
      <c r="E2" s="103" t="s">
        <v>3</v>
      </c>
      <c r="F2" s="103" t="s">
        <v>4</v>
      </c>
      <c r="G2" s="440" t="s">
        <v>5</v>
      </c>
      <c r="H2" s="441"/>
      <c r="I2" s="442"/>
      <c r="J2" s="104" t="s">
        <v>367</v>
      </c>
      <c r="K2" s="394" t="s">
        <v>420</v>
      </c>
      <c r="L2" s="395"/>
      <c r="M2" s="395"/>
      <c r="N2" s="396"/>
      <c r="O2" s="396"/>
      <c r="P2" s="396"/>
      <c r="Q2" s="397"/>
      <c r="R2" s="443" t="s">
        <v>409</v>
      </c>
      <c r="S2" s="409" t="s">
        <v>408</v>
      </c>
      <c r="T2" s="412" t="s">
        <v>381</v>
      </c>
      <c r="U2" s="413"/>
      <c r="V2" s="413"/>
      <c r="W2" s="413"/>
      <c r="X2" s="414"/>
      <c r="Y2" s="415" t="s">
        <v>400</v>
      </c>
      <c r="Z2" s="415" t="s">
        <v>401</v>
      </c>
      <c r="AA2" s="415" t="s">
        <v>402</v>
      </c>
      <c r="AB2" s="432"/>
      <c r="AC2" s="432"/>
    </row>
    <row r="3" spans="1:30" ht="14" customHeight="1" thickBot="1" x14ac:dyDescent="0.2">
      <c r="A3" s="435"/>
      <c r="B3" s="438"/>
      <c r="C3" s="399"/>
      <c r="D3" s="418" t="s">
        <v>9</v>
      </c>
      <c r="E3" s="420" t="s">
        <v>10</v>
      </c>
      <c r="F3" s="420" t="s">
        <v>11</v>
      </c>
      <c r="G3" s="421" t="s">
        <v>12</v>
      </c>
      <c r="H3" s="422"/>
      <c r="I3" s="423"/>
      <c r="J3" s="424" t="s">
        <v>13</v>
      </c>
      <c r="K3" s="401" t="s">
        <v>421</v>
      </c>
      <c r="L3" s="402"/>
      <c r="M3" s="402"/>
      <c r="N3" s="401" t="s">
        <v>422</v>
      </c>
      <c r="O3" s="402"/>
      <c r="P3" s="403"/>
      <c r="Q3" s="407" t="s">
        <v>483</v>
      </c>
      <c r="R3" s="444"/>
      <c r="S3" s="410"/>
      <c r="T3" s="404" t="s">
        <v>380</v>
      </c>
      <c r="U3" s="403"/>
      <c r="V3" s="404" t="s">
        <v>379</v>
      </c>
      <c r="W3" s="403"/>
      <c r="X3" s="405" t="s">
        <v>382</v>
      </c>
      <c r="Y3" s="416"/>
      <c r="Z3" s="416"/>
      <c r="AA3" s="416"/>
      <c r="AB3" s="432"/>
      <c r="AC3" s="432"/>
    </row>
    <row r="4" spans="1:30" ht="14" thickBot="1" x14ac:dyDescent="0.2">
      <c r="A4" s="436"/>
      <c r="B4" s="439"/>
      <c r="C4" s="400"/>
      <c r="D4" s="419"/>
      <c r="E4" s="419"/>
      <c r="F4" s="419"/>
      <c r="G4" s="86" t="s">
        <v>368</v>
      </c>
      <c r="H4" s="88" t="s">
        <v>369</v>
      </c>
      <c r="I4" s="88" t="s">
        <v>370</v>
      </c>
      <c r="J4" s="425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408"/>
      <c r="R4" s="445"/>
      <c r="S4" s="411"/>
      <c r="T4" s="78" t="s">
        <v>387</v>
      </c>
      <c r="U4" s="79" t="s">
        <v>388</v>
      </c>
      <c r="V4" s="76" t="s">
        <v>387</v>
      </c>
      <c r="W4" s="77" t="s">
        <v>388</v>
      </c>
      <c r="X4" s="406"/>
      <c r="Y4" s="417"/>
      <c r="Z4" s="417"/>
      <c r="AA4" s="417"/>
      <c r="AB4" s="433"/>
      <c r="AC4" s="433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1">
        <v>34.9</v>
      </c>
      <c r="J5" s="372">
        <v>89</v>
      </c>
      <c r="K5" s="259">
        <v>37</v>
      </c>
      <c r="L5" s="256">
        <v>86</v>
      </c>
      <c r="M5" s="260">
        <v>61.5</v>
      </c>
      <c r="N5" s="261">
        <v>21.1</v>
      </c>
      <c r="O5" s="371">
        <v>26.3</v>
      </c>
      <c r="P5" s="363">
        <v>23.7</v>
      </c>
      <c r="Q5" s="261">
        <f>AVERAGE(M5,P5)</f>
        <v>42.6</v>
      </c>
      <c r="R5" s="373">
        <f>AVERAGE(D5,E5,F5,G5,J5,Q5)</f>
        <v>69.11666666666666</v>
      </c>
      <c r="S5" s="374">
        <f>AVERAGE(Q5,J5,I5,F5,E5,D5)</f>
        <v>69.283333333333331</v>
      </c>
      <c r="T5" s="261">
        <v>29</v>
      </c>
      <c r="U5" s="375">
        <v>58.9</v>
      </c>
      <c r="V5" s="375">
        <v>56.3</v>
      </c>
      <c r="W5" s="375">
        <v>71.8</v>
      </c>
      <c r="X5" s="332">
        <f t="shared" ref="X5" si="0">AVERAGE(T5:V5)</f>
        <v>48.066666666666663</v>
      </c>
      <c r="Y5" s="140">
        <v>93.9</v>
      </c>
      <c r="Z5" s="196">
        <v>90.3</v>
      </c>
      <c r="AA5" s="142">
        <f t="shared" ref="AA5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5">
        <v>33.799999999999997</v>
      </c>
      <c r="H6" s="366">
        <v>36.6</v>
      </c>
      <c r="I6" s="367">
        <v>35.4</v>
      </c>
      <c r="J6" s="368">
        <v>83.5</v>
      </c>
      <c r="K6" s="320">
        <v>36</v>
      </c>
      <c r="L6" s="366">
        <v>77</v>
      </c>
      <c r="M6" s="369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3">
        <v>34.6</v>
      </c>
      <c r="U6" s="393">
        <v>63.2</v>
      </c>
      <c r="V6" s="393">
        <v>58.9</v>
      </c>
      <c r="W6" s="389">
        <v>73.8</v>
      </c>
      <c r="X6" s="370">
        <f t="shared" ref="X6" si="2">AVERAGE(T6:V6)</f>
        <v>52.233333333333341</v>
      </c>
      <c r="Y6" s="97">
        <v>94.2</v>
      </c>
      <c r="Z6" s="95">
        <v>89.4</v>
      </c>
      <c r="AA6" s="99">
        <f t="shared" ref="AA6" si="3">AVERAGE(Y6,Z6)</f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5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4">
        <v>32</v>
      </c>
      <c r="Q7" s="60">
        <f t="shared" ref="Q7:Q26" si="4">AVERAGE(M7,P7)</f>
        <v>49.75</v>
      </c>
      <c r="R7" s="120">
        <f t="shared" ref="R7:R26" si="5">AVERAGE(D7,E7,F7,G7,J7,Q7)</f>
        <v>68.274999999999991</v>
      </c>
      <c r="S7" s="139">
        <f t="shared" ref="S7:S26" si="6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ref="X7:X26" si="7">AVERAGE(T7:V7)</f>
        <v>47.033333333333331</v>
      </c>
      <c r="Y7" s="96">
        <v>94.3</v>
      </c>
      <c r="Z7" s="94">
        <v>90.3</v>
      </c>
      <c r="AA7" s="98">
        <f t="shared" ref="AA7:AA22" si="8">AVERAGE(Y7,Z7)</f>
        <v>92.3</v>
      </c>
      <c r="AB7" s="143">
        <f t="shared" ref="AB7:AB26" si="9">AVERAGE(X7,S7,AA7)</f>
        <v>69.202777777777783</v>
      </c>
      <c r="AC7" s="144">
        <f t="shared" ref="AC7:AC26" si="10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6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2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4"/>
        <v>26.95</v>
      </c>
      <c r="R8" s="120">
        <f t="shared" si="5"/>
        <v>62.375</v>
      </c>
      <c r="S8" s="139">
        <f t="shared" si="6"/>
        <v>62.608333333333327</v>
      </c>
      <c r="T8" s="61">
        <v>26.4</v>
      </c>
      <c r="U8" s="38">
        <v>52.5</v>
      </c>
      <c r="V8" s="38">
        <v>48.9</v>
      </c>
      <c r="W8" s="390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9"/>
        <v>65.00277777777778</v>
      </c>
      <c r="AC8" s="144">
        <f t="shared" si="10"/>
        <v>62.914999999999999</v>
      </c>
    </row>
    <row r="9" spans="1:30" ht="14" x14ac:dyDescent="0.2">
      <c r="A9" s="47" t="s">
        <v>425</v>
      </c>
      <c r="B9" s="145" t="s">
        <v>360</v>
      </c>
      <c r="C9" s="386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4"/>
        <v>34.1</v>
      </c>
      <c r="R9" s="120">
        <f t="shared" si="5"/>
        <v>58.983333333333341</v>
      </c>
      <c r="S9" s="139">
        <f t="shared" si="6"/>
        <v>58.983333333333327</v>
      </c>
      <c r="T9" s="61">
        <v>28.3</v>
      </c>
      <c r="U9" s="38">
        <v>57.2</v>
      </c>
      <c r="V9" s="38">
        <v>56.1</v>
      </c>
      <c r="W9" s="390">
        <v>73.2</v>
      </c>
      <c r="X9" s="61">
        <f t="shared" si="7"/>
        <v>47.199999999999996</v>
      </c>
      <c r="Y9" s="97">
        <v>94.1</v>
      </c>
      <c r="Z9" s="95">
        <v>89.3</v>
      </c>
      <c r="AA9" s="388">
        <f t="shared" si="8"/>
        <v>91.699999999999989</v>
      </c>
      <c r="AB9" s="143">
        <f t="shared" si="9"/>
        <v>65.961111111111109</v>
      </c>
      <c r="AC9" s="144">
        <f t="shared" si="10"/>
        <v>62.17</v>
      </c>
    </row>
    <row r="10" spans="1:30" ht="14" x14ac:dyDescent="0.2">
      <c r="A10" s="47" t="s">
        <v>423</v>
      </c>
      <c r="B10" s="145" t="s">
        <v>360</v>
      </c>
      <c r="C10" s="386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4"/>
        <v>34.5</v>
      </c>
      <c r="R10" s="120">
        <f t="shared" si="5"/>
        <v>58.6</v>
      </c>
      <c r="S10" s="139">
        <f t="shared" si="6"/>
        <v>58.716666666666669</v>
      </c>
      <c r="T10" s="61">
        <v>27.7</v>
      </c>
      <c r="U10" s="38">
        <v>56.8</v>
      </c>
      <c r="V10" s="38">
        <v>56.6</v>
      </c>
      <c r="W10" s="390">
        <v>73.900000000000006</v>
      </c>
      <c r="X10" s="61">
        <f t="shared" si="7"/>
        <v>47.033333333333331</v>
      </c>
      <c r="Y10" s="97">
        <v>94</v>
      </c>
      <c r="Z10" s="95">
        <v>89.3</v>
      </c>
      <c r="AA10" s="388">
        <f t="shared" si="8"/>
        <v>91.65</v>
      </c>
      <c r="AB10" s="143">
        <f t="shared" si="9"/>
        <v>65.8</v>
      </c>
      <c r="AC10" s="144">
        <f t="shared" si="10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6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ref="Q11" si="11">AVERAGE(M11,P11)</f>
        <v>25.95</v>
      </c>
      <c r="R11" s="120">
        <f t="shared" ref="R11" si="12">AVERAGE(D11,E11,F11,G11,J11,Q11)</f>
        <v>60.208333333333336</v>
      </c>
      <c r="S11" s="193">
        <f t="shared" ref="S11" si="13">AVERAGE(Q11,J11,I11,F11,E11,D11)</f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ref="X11:X16" si="14">AVERAGE(T11:V11)</f>
        <v>41.133333333333333</v>
      </c>
      <c r="Y11" s="387">
        <v>91</v>
      </c>
      <c r="Z11" s="95">
        <v>86.2</v>
      </c>
      <c r="AA11" s="361">
        <f>AVERAGE(Y11,Z11)</f>
        <v>88.6</v>
      </c>
      <c r="AB11" s="109">
        <f>AVERAGE(X11,S11,AA11)</f>
        <v>63.391666666666673</v>
      </c>
      <c r="AC11" s="144">
        <f t="shared" ref="AC11" si="15">AVERAGE(D11,E11,F11,G11,J11,Q11,T11,V11,Y11,Z11)</f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4"/>
        <v>26.7</v>
      </c>
      <c r="R12" s="120">
        <f t="shared" si="5"/>
        <v>60.75</v>
      </c>
      <c r="S12" s="139">
        <f t="shared" si="6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14"/>
        <v>35.6</v>
      </c>
      <c r="Y12" s="97">
        <v>88.8</v>
      </c>
      <c r="Z12" s="95">
        <v>84</v>
      </c>
      <c r="AA12" s="99">
        <f t="shared" si="8"/>
        <v>86.4</v>
      </c>
      <c r="AB12" s="143">
        <f>AVERAGE(X12,S12,AA12)</f>
        <v>61.00555555555556</v>
      </c>
      <c r="AC12" s="144">
        <f t="shared" si="10"/>
        <v>59.629999999999995</v>
      </c>
    </row>
    <row r="13" spans="1:30" ht="14" hidden="1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6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ref="R13" si="16">AVERAGE(D13,E13,F13,G13,J13,Q13)</f>
        <v>57.083333333333336</v>
      </c>
      <c r="S13" s="139">
        <f t="shared" ref="S13" si="17">AVERAGE(Q13,J13,I13,F13,E13,D13)</f>
        <v>57.416666666666664</v>
      </c>
      <c r="T13" s="61">
        <v>21.5</v>
      </c>
      <c r="U13" s="38">
        <v>52.3</v>
      </c>
      <c r="V13" s="38">
        <v>48.4</v>
      </c>
      <c r="W13" s="390">
        <v>68.5</v>
      </c>
      <c r="X13" s="61">
        <f t="shared" si="14"/>
        <v>40.733333333333327</v>
      </c>
      <c r="Y13" s="355">
        <v>91.2</v>
      </c>
      <c r="Z13" s="95">
        <v>86.4</v>
      </c>
      <c r="AA13" s="361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hidden="1" x14ac:dyDescent="0.2">
      <c r="A14" s="283" t="s">
        <v>480</v>
      </c>
      <c r="B14" s="376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4"/>
        <v>31.25</v>
      </c>
      <c r="R14" s="120">
        <f t="shared" si="5"/>
        <v>59.508333333333347</v>
      </c>
      <c r="S14" s="139">
        <f t="shared" si="6"/>
        <v>59.758333333333347</v>
      </c>
      <c r="T14" s="61">
        <v>10.5</v>
      </c>
      <c r="U14" s="38">
        <v>45.3</v>
      </c>
      <c r="V14" s="38">
        <v>42.4</v>
      </c>
      <c r="W14" s="390">
        <v>64.099999999999994</v>
      </c>
      <c r="X14" s="61">
        <f t="shared" si="14"/>
        <v>32.733333333333327</v>
      </c>
      <c r="Y14" s="357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10"/>
        <v>58.875</v>
      </c>
    </row>
    <row r="15" spans="1:30" ht="14" hidden="1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90">
        <v>64.7</v>
      </c>
      <c r="X15" s="61">
        <f t="shared" si="14"/>
        <v>33.466666666666669</v>
      </c>
      <c r="Y15" s="357">
        <v>90.9</v>
      </c>
      <c r="Z15" s="137">
        <v>86.2</v>
      </c>
      <c r="AA15" s="92">
        <f>AVERAGE(Y15,Z15)</f>
        <v>88.550000000000011</v>
      </c>
      <c r="AB15" s="308">
        <f t="shared" ref="AB15" si="18">AVERAGE(X15,S15,AA15)</f>
        <v>60.322222222222223</v>
      </c>
      <c r="AC15" s="144">
        <f>AVERAGE(D15,E15,F15,G15,J15,Q15,T15,V15,Y15,Z15)</f>
        <v>58.370000000000005</v>
      </c>
    </row>
    <row r="16" spans="1:30" ht="14" hidden="1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4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90">
        <v>67.2</v>
      </c>
      <c r="X16" s="61">
        <f t="shared" si="14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ref="AB16" si="19">AVERAGE(X16,S16,AA16)</f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6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4"/>
        <v>31.9</v>
      </c>
      <c r="R17" s="120">
        <f t="shared" si="5"/>
        <v>53.041499999999985</v>
      </c>
      <c r="S17" s="139">
        <f t="shared" si="6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7"/>
        <v>46.166666666666664</v>
      </c>
      <c r="Y17" s="97">
        <v>93.5</v>
      </c>
      <c r="Z17" s="95">
        <v>88.6</v>
      </c>
      <c r="AA17" s="99">
        <f t="shared" si="8"/>
        <v>91.05</v>
      </c>
      <c r="AB17" s="308">
        <f t="shared" si="9"/>
        <v>63.436055555555548</v>
      </c>
      <c r="AC17" s="144">
        <f t="shared" si="10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ref="Q18" si="20">AVERAGE(M18,P18)</f>
        <v>29.5</v>
      </c>
      <c r="R18" s="120">
        <f t="shared" ref="R18" si="21">AVERAGE(D18,E18,F18,G18,J18,Q18)</f>
        <v>47.146666666666668</v>
      </c>
      <c r="S18" s="139">
        <f t="shared" ref="S18" si="22">AVERAGE(Q18,J18,I18,F18,E18,D18)</f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8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ref="AC18" si="23">AVERAGE(D18,E18,F18,G18,J18,Q18,T18,V18,Y18,Z18)</f>
        <v>54.927999999999997</v>
      </c>
    </row>
    <row r="19" spans="1:29" ht="14" hidden="1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4"/>
        <v>33.950000000000003</v>
      </c>
      <c r="R19" s="120">
        <f t="shared" si="5"/>
        <v>56.425000000000004</v>
      </c>
      <c r="S19" s="139">
        <f t="shared" si="6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8"/>
        <v>74.599999999999994</v>
      </c>
      <c r="AB19" s="312">
        <f>AVERAGE(X19,S19,AA19)</f>
        <v>53.458333333333336</v>
      </c>
      <c r="AC19" s="144">
        <f t="shared" si="10"/>
        <v>53.174999999999997</v>
      </c>
    </row>
    <row r="20" spans="1:29" ht="14" hidden="1" x14ac:dyDescent="0.2">
      <c r="A20" s="280" t="s">
        <v>406</v>
      </c>
      <c r="B20" s="376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90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6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4"/>
        <v>26.35</v>
      </c>
      <c r="R21" s="120">
        <f t="shared" si="5"/>
        <v>57.824999999999996</v>
      </c>
      <c r="S21" s="139">
        <f t="shared" si="6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8"/>
        <v>71.650000000000006</v>
      </c>
      <c r="AB21" s="308">
        <f>AVERAGE(X21,S21,AA21)</f>
        <v>49.802777777777777</v>
      </c>
      <c r="AC21" s="144">
        <f t="shared" si="10"/>
        <v>50.755000000000003</v>
      </c>
    </row>
    <row r="22" spans="1:29" ht="14" x14ac:dyDescent="0.2">
      <c r="A22" s="283" t="s">
        <v>413</v>
      </c>
      <c r="B22" s="376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4"/>
        <v>25</v>
      </c>
      <c r="R22" s="120">
        <f t="shared" si="5"/>
        <v>40.300000000000004</v>
      </c>
      <c r="S22" s="139">
        <f t="shared" si="6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7"/>
        <v>42.6</v>
      </c>
      <c r="Y22" s="97">
        <v>92.6</v>
      </c>
      <c r="Z22" s="95">
        <v>87.7</v>
      </c>
      <c r="AA22" s="99">
        <f t="shared" si="8"/>
        <v>90.15</v>
      </c>
      <c r="AB22" s="308">
        <f t="shared" si="9"/>
        <v>57.69444444444445</v>
      </c>
      <c r="AC22" s="144">
        <f t="shared" si="10"/>
        <v>49.61</v>
      </c>
    </row>
    <row r="23" spans="1:29" ht="14" hidden="1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ref="Q23" si="24">AVERAGE(M23,P23)</f>
        <v>16.649999999999999</v>
      </c>
      <c r="R23" s="120">
        <f t="shared" ref="R23" si="25">AVERAGE(D23,E23,F23,G23,J23,Q23)</f>
        <v>37.858333333333334</v>
      </c>
      <c r="S23" s="139">
        <f t="shared" ref="S23" si="26">AVERAGE(Q23,J23,I23,F23,E23,D23)</f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ref="AC23" si="27">AVERAGE(D23,E23,F23,G23,J23,Q23,T23,V23,Y23,Z23)</f>
        <v>47.774999999999999</v>
      </c>
    </row>
    <row r="24" spans="1:29" ht="14" hidden="1" x14ac:dyDescent="0.2">
      <c r="A24" s="116" t="s">
        <v>469</v>
      </c>
      <c r="B24" s="167" t="s">
        <v>358</v>
      </c>
      <c r="C24" s="128"/>
      <c r="D24" s="128">
        <v>35.799999999999997</v>
      </c>
      <c r="E24" s="127">
        <v>21.8</v>
      </c>
      <c r="F24" s="127">
        <v>57.2</v>
      </c>
      <c r="G24" s="37">
        <v>5.5</v>
      </c>
      <c r="H24" s="38">
        <v>5.5</v>
      </c>
      <c r="I24" s="145">
        <v>5.5</v>
      </c>
      <c r="J24" s="167">
        <v>73.900000000000006</v>
      </c>
      <c r="K24" s="145">
        <v>22</v>
      </c>
      <c r="L24" s="39">
        <v>96</v>
      </c>
      <c r="M24" s="117">
        <v>59</v>
      </c>
      <c r="N24" s="145">
        <v>0</v>
      </c>
      <c r="O24" s="44">
        <v>2.2999999999999998</v>
      </c>
      <c r="P24" s="205">
        <v>1.1000000000000001</v>
      </c>
      <c r="Q24" s="61">
        <f t="shared" si="4"/>
        <v>30.05</v>
      </c>
      <c r="R24" s="120">
        <f t="shared" si="5"/>
        <v>37.375</v>
      </c>
      <c r="S24" s="139">
        <f t="shared" si="6"/>
        <v>37.375</v>
      </c>
      <c r="T24" s="145">
        <v>20.2</v>
      </c>
      <c r="U24" s="145">
        <v>52.8</v>
      </c>
      <c r="V24" s="145">
        <v>49.8</v>
      </c>
      <c r="W24" s="277">
        <v>69.599999999999994</v>
      </c>
      <c r="X24" s="145">
        <f>AVERAGE(T24:V24)</f>
        <v>40.93333333333333</v>
      </c>
      <c r="Y24" s="285">
        <v>92.3</v>
      </c>
      <c r="Z24" s="145">
        <v>87.9</v>
      </c>
      <c r="AA24" s="145">
        <f>AVERAGE(Y24,Z24)</f>
        <v>90.1</v>
      </c>
      <c r="AB24" s="319">
        <f t="shared" ref="AB24" si="28">AVERAGE(X24,S24,AA24)</f>
        <v>56.136111111111113</v>
      </c>
      <c r="AC24" s="144">
        <f t="shared" si="10"/>
        <v>47.445000000000007</v>
      </c>
    </row>
    <row r="25" spans="1:29" ht="14" x14ac:dyDescent="0.2">
      <c r="A25" s="89" t="s">
        <v>361</v>
      </c>
      <c r="B25" s="193" t="s">
        <v>358</v>
      </c>
      <c r="C25" s="225">
        <v>64.099999999999994</v>
      </c>
      <c r="D25" s="324">
        <v>36.799999999999997</v>
      </c>
      <c r="E25" s="245">
        <v>16</v>
      </c>
      <c r="F25" s="245">
        <v>57.1</v>
      </c>
      <c r="G25" s="231">
        <v>6.2</v>
      </c>
      <c r="H25" s="232">
        <v>6.2</v>
      </c>
      <c r="I25" s="359">
        <v>6.2</v>
      </c>
      <c r="J25" s="270">
        <v>71.8</v>
      </c>
      <c r="K25" s="231">
        <v>16</v>
      </c>
      <c r="L25" s="232">
        <v>88</v>
      </c>
      <c r="M25" s="233">
        <v>52</v>
      </c>
      <c r="N25" s="148">
        <v>0</v>
      </c>
      <c r="O25" s="362">
        <v>0.75</v>
      </c>
      <c r="P25" s="205">
        <v>0.38</v>
      </c>
      <c r="Q25" s="61">
        <f t="shared" si="4"/>
        <v>26.19</v>
      </c>
      <c r="R25" s="120">
        <f t="shared" si="5"/>
        <v>35.681666666666665</v>
      </c>
      <c r="S25" s="139">
        <f t="shared" si="6"/>
        <v>35.681666666666665</v>
      </c>
      <c r="T25" s="37">
        <v>23.3</v>
      </c>
      <c r="U25" s="38">
        <v>53</v>
      </c>
      <c r="V25" s="38">
        <v>47.2</v>
      </c>
      <c r="W25" s="277">
        <v>68.5</v>
      </c>
      <c r="X25" s="61">
        <f t="shared" si="7"/>
        <v>41.166666666666664</v>
      </c>
      <c r="Y25" s="203">
        <v>91</v>
      </c>
      <c r="Z25" s="204">
        <v>85.9</v>
      </c>
      <c r="AA25" s="205">
        <f t="shared" ref="AA25" si="29">AVERAGE(Y25,Z25)</f>
        <v>88.45</v>
      </c>
      <c r="AB25" s="308">
        <f t="shared" si="9"/>
        <v>55.099444444444451</v>
      </c>
      <c r="AC25" s="144">
        <f t="shared" si="10"/>
        <v>46.149000000000001</v>
      </c>
    </row>
    <row r="26" spans="1:29" ht="15" thickBot="1" x14ac:dyDescent="0.25">
      <c r="A26" s="382" t="s">
        <v>362</v>
      </c>
      <c r="B26" s="67" t="s">
        <v>358</v>
      </c>
      <c r="C26" s="67">
        <v>48.25</v>
      </c>
      <c r="D26" s="67">
        <v>59.7</v>
      </c>
      <c r="E26" s="131">
        <v>12</v>
      </c>
      <c r="F26" s="131">
        <v>42.1</v>
      </c>
      <c r="G26" s="56">
        <v>7.8</v>
      </c>
      <c r="H26" s="42">
        <v>8</v>
      </c>
      <c r="I26" s="62">
        <v>7.9</v>
      </c>
      <c r="J26" s="170">
        <v>73.599999999999994</v>
      </c>
      <c r="K26" s="56">
        <v>18</v>
      </c>
      <c r="L26" s="42">
        <v>64</v>
      </c>
      <c r="M26" s="53">
        <v>41</v>
      </c>
      <c r="N26" s="62">
        <v>3.8</v>
      </c>
      <c r="O26" s="42">
        <v>14.3</v>
      </c>
      <c r="P26" s="67">
        <v>9</v>
      </c>
      <c r="Q26" s="191">
        <f t="shared" si="4"/>
        <v>25</v>
      </c>
      <c r="R26" s="132">
        <f t="shared" si="5"/>
        <v>36.699999999999996</v>
      </c>
      <c r="S26" s="198">
        <f t="shared" si="6"/>
        <v>36.716666666666669</v>
      </c>
      <c r="T26" s="383">
        <v>16.100000000000001</v>
      </c>
      <c r="U26" s="62">
        <v>47.9</v>
      </c>
      <c r="V26" s="42">
        <v>29.1</v>
      </c>
      <c r="W26" s="391">
        <v>58.3</v>
      </c>
      <c r="X26" s="62">
        <f t="shared" si="7"/>
        <v>31.033333333333331</v>
      </c>
      <c r="Y26" s="155">
        <v>86.2</v>
      </c>
      <c r="Z26" s="156">
        <v>82.7</v>
      </c>
      <c r="AA26" s="157">
        <f t="shared" ref="AA26" si="30">AVERAGE(Y26,Z26)</f>
        <v>84.45</v>
      </c>
      <c r="AB26" s="384">
        <f t="shared" si="9"/>
        <v>50.733333333333327</v>
      </c>
      <c r="AC26" s="346">
        <f t="shared" si="10"/>
        <v>43.429999999999993</v>
      </c>
    </row>
    <row r="27" spans="1:29" ht="15.75" hidden="1" customHeight="1" thickBot="1" x14ac:dyDescent="0.25">
      <c r="A27" s="333" t="s">
        <v>468</v>
      </c>
      <c r="B27" s="334" t="s">
        <v>358</v>
      </c>
      <c r="C27" s="377"/>
      <c r="D27" s="335">
        <v>18.100000000000001</v>
      </c>
      <c r="E27" s="336">
        <v>25.2</v>
      </c>
      <c r="F27" s="336">
        <v>38.5</v>
      </c>
      <c r="G27" s="337">
        <v>6.9</v>
      </c>
      <c r="H27" s="360">
        <v>7</v>
      </c>
      <c r="I27" s="339">
        <v>7</v>
      </c>
      <c r="J27" s="340">
        <v>84.6</v>
      </c>
      <c r="K27" s="341">
        <v>6</v>
      </c>
      <c r="L27" s="342">
        <v>39</v>
      </c>
      <c r="M27" s="343">
        <v>22.5</v>
      </c>
      <c r="N27" s="341">
        <v>0.8</v>
      </c>
      <c r="O27" s="342">
        <v>24.8</v>
      </c>
      <c r="P27" s="346">
        <v>12.8</v>
      </c>
      <c r="Q27" s="378">
        <f>AVERAGE(M27,P27)</f>
        <v>17.649999999999999</v>
      </c>
      <c r="R27" s="336">
        <f>AVERAGE(D27,E27,F27,G27,J27,Q27)</f>
        <v>31.825000000000003</v>
      </c>
      <c r="S27" s="344">
        <f>AVERAGE(Q27,J27,I27,F27,E27,D27)</f>
        <v>31.841666666666665</v>
      </c>
      <c r="T27" s="379">
        <v>37.5</v>
      </c>
      <c r="U27" s="380">
        <v>65.400000000000006</v>
      </c>
      <c r="V27" s="380">
        <v>61.2</v>
      </c>
      <c r="W27" s="380">
        <v>76.599999999999994</v>
      </c>
      <c r="X27" s="381">
        <f>AVERAGE(T27:V27)</f>
        <v>54.70000000000001</v>
      </c>
      <c r="Y27" s="345">
        <v>20.2</v>
      </c>
      <c r="Z27" s="341">
        <v>19.7</v>
      </c>
      <c r="AA27" s="341">
        <f>AVERAGE(Y27,Z27)</f>
        <v>19.95</v>
      </c>
      <c r="AB27" s="242">
        <f>AVERAGE(X27,S27,AA27)</f>
        <v>35.497222222222227</v>
      </c>
      <c r="AC27" s="346">
        <f>AVERAGE(D27,E27,F27,G27,J27,Q27,T27,V27,Y27,Z27)</f>
        <v>32.954999999999998</v>
      </c>
    </row>
  </sheetData>
  <mergeCells count="27">
    <mergeCell ref="A2:A4"/>
    <mergeCell ref="B2:B4"/>
    <mergeCell ref="G2:I2"/>
    <mergeCell ref="R2:R4"/>
    <mergeCell ref="B1:S1"/>
    <mergeCell ref="T1:X1"/>
    <mergeCell ref="Y1:AA1"/>
    <mergeCell ref="AB1:AB4"/>
    <mergeCell ref="AC1:AC4"/>
    <mergeCell ref="Y2:Y4"/>
    <mergeCell ref="Z2:Z4"/>
    <mergeCell ref="AA2:AA4"/>
    <mergeCell ref="D3:D4"/>
    <mergeCell ref="E3:E4"/>
    <mergeCell ref="F3:F4"/>
    <mergeCell ref="G3:I3"/>
    <mergeCell ref="J3:J4"/>
    <mergeCell ref="V3:W3"/>
    <mergeCell ref="X3:X4"/>
    <mergeCell ref="Q3:Q4"/>
    <mergeCell ref="S2:S4"/>
    <mergeCell ref="T2:X2"/>
    <mergeCell ref="K2:Q2"/>
    <mergeCell ref="C2:C4"/>
    <mergeCell ref="K3:M3"/>
    <mergeCell ref="N3:P3"/>
    <mergeCell ref="T3:U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3"/>
  <sheetViews>
    <sheetView zoomScale="150" zoomScaleNormal="150" workbookViewId="0">
      <selection activeCell="C29" sqref="C29:O29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6" t="s">
        <v>384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8"/>
      <c r="R1" s="426" t="s">
        <v>378</v>
      </c>
      <c r="S1" s="427"/>
      <c r="T1" s="427"/>
      <c r="U1" s="427"/>
      <c r="V1" s="427"/>
      <c r="W1" s="426" t="s">
        <v>399</v>
      </c>
      <c r="X1" s="429"/>
      <c r="Y1" s="430"/>
      <c r="Z1" s="431" t="s">
        <v>385</v>
      </c>
      <c r="AA1" s="431" t="s">
        <v>393</v>
      </c>
    </row>
    <row r="2" spans="1:27" ht="15" thickBot="1" x14ac:dyDescent="0.25">
      <c r="A2" s="434" t="s">
        <v>0</v>
      </c>
      <c r="B2" s="437" t="s">
        <v>1</v>
      </c>
      <c r="C2" s="103" t="s">
        <v>2</v>
      </c>
      <c r="D2" s="103" t="s">
        <v>3</v>
      </c>
      <c r="E2" s="103" t="s">
        <v>4</v>
      </c>
      <c r="F2" s="440" t="s">
        <v>5</v>
      </c>
      <c r="G2" s="441"/>
      <c r="H2" s="442"/>
      <c r="I2" s="104" t="s">
        <v>367</v>
      </c>
      <c r="J2" s="394" t="s">
        <v>420</v>
      </c>
      <c r="K2" s="395"/>
      <c r="L2" s="395"/>
      <c r="M2" s="396"/>
      <c r="N2" s="396"/>
      <c r="O2" s="397"/>
      <c r="P2" s="443" t="s">
        <v>409</v>
      </c>
      <c r="Q2" s="409" t="s">
        <v>408</v>
      </c>
      <c r="R2" s="412" t="s">
        <v>381</v>
      </c>
      <c r="S2" s="413"/>
      <c r="T2" s="413"/>
      <c r="U2" s="413"/>
      <c r="V2" s="414"/>
      <c r="W2" s="446" t="s">
        <v>400</v>
      </c>
      <c r="X2" s="446" t="s">
        <v>401</v>
      </c>
      <c r="Y2" s="446" t="s">
        <v>402</v>
      </c>
      <c r="Z2" s="432"/>
      <c r="AA2" s="432"/>
    </row>
    <row r="3" spans="1:27" ht="14" customHeight="1" thickBot="1" x14ac:dyDescent="0.2">
      <c r="A3" s="435"/>
      <c r="B3" s="438"/>
      <c r="C3" s="418" t="s">
        <v>9</v>
      </c>
      <c r="D3" s="420" t="s">
        <v>10</v>
      </c>
      <c r="E3" s="420" t="s">
        <v>11</v>
      </c>
      <c r="F3" s="421" t="s">
        <v>12</v>
      </c>
      <c r="G3" s="422"/>
      <c r="H3" s="423"/>
      <c r="I3" s="424" t="s">
        <v>13</v>
      </c>
      <c r="J3" s="401" t="s">
        <v>421</v>
      </c>
      <c r="K3" s="402"/>
      <c r="L3" s="402"/>
      <c r="M3" s="401" t="s">
        <v>422</v>
      </c>
      <c r="N3" s="402"/>
      <c r="O3" s="403"/>
      <c r="P3" s="444"/>
      <c r="Q3" s="410"/>
      <c r="R3" s="404" t="s">
        <v>380</v>
      </c>
      <c r="S3" s="403"/>
      <c r="T3" s="404" t="s">
        <v>379</v>
      </c>
      <c r="U3" s="403"/>
      <c r="V3" s="405" t="s">
        <v>382</v>
      </c>
      <c r="W3" s="447"/>
      <c r="X3" s="447"/>
      <c r="Y3" s="447"/>
      <c r="Z3" s="432"/>
      <c r="AA3" s="432"/>
    </row>
    <row r="4" spans="1:27" ht="14" thickBot="1" x14ac:dyDescent="0.2">
      <c r="A4" s="436"/>
      <c r="B4" s="439"/>
      <c r="C4" s="419"/>
      <c r="D4" s="419"/>
      <c r="E4" s="419"/>
      <c r="F4" s="86" t="s">
        <v>368</v>
      </c>
      <c r="G4" s="88" t="s">
        <v>369</v>
      </c>
      <c r="H4" s="88" t="s">
        <v>370</v>
      </c>
      <c r="I4" s="42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5"/>
      <c r="Q4" s="411"/>
      <c r="R4" s="78" t="s">
        <v>387</v>
      </c>
      <c r="S4" s="79" t="s">
        <v>388</v>
      </c>
      <c r="T4" s="76" t="s">
        <v>387</v>
      </c>
      <c r="U4" s="77" t="s">
        <v>388</v>
      </c>
      <c r="V4" s="406"/>
      <c r="W4" s="448"/>
      <c r="X4" s="448"/>
      <c r="Y4" s="448"/>
      <c r="Z4" s="433"/>
      <c r="AA4" s="4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1">
        <v>34.6</v>
      </c>
      <c r="S5" s="261">
        <v>63.2</v>
      </c>
      <c r="T5" s="261">
        <v>58.9</v>
      </c>
      <c r="U5" s="261">
        <v>73.8</v>
      </c>
      <c r="V5" s="332">
        <f t="shared" ref="V5:V11" si="0">AVERAGE(R5:T5)</f>
        <v>52.233333333333341</v>
      </c>
      <c r="W5" s="97">
        <v>94.2</v>
      </c>
      <c r="X5" s="95">
        <v>89.4</v>
      </c>
      <c r="Y5" s="99">
        <f t="shared" ref="Y5" si="1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2">AVERAGE(C6,D6,E6,F6,I6,J6)</f>
        <v>68.183333333333323</v>
      </c>
      <c r="Q6" s="254">
        <f t="shared" ref="Q6:Q18" si="3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 t="shared" si="0"/>
        <v>48.066666666666663</v>
      </c>
      <c r="W6" s="140">
        <v>93.9</v>
      </c>
      <c r="X6" s="196">
        <v>90.3</v>
      </c>
      <c r="Y6" s="142">
        <f t="shared" ref="Y6:Y22" si="4"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2"/>
        <v>68.149999999999991</v>
      </c>
      <c r="Q7" s="122">
        <f t="shared" si="3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 t="shared" si="0"/>
        <v>47.033333333333331</v>
      </c>
      <c r="W7" s="96">
        <v>94.3</v>
      </c>
      <c r="X7" s="94">
        <v>90.3</v>
      </c>
      <c r="Y7" s="98">
        <f t="shared" si="4"/>
        <v>92.3</v>
      </c>
      <c r="Z7" s="143">
        <f t="shared" ref="Z7:Z30" si="5">AVERAGE(V7,Q7,Y7)</f>
        <v>70.188888888888883</v>
      </c>
      <c r="AA7" s="144">
        <f t="shared" ref="AA7:AA30" si="6">AVERAGE(C7,D7,E7,F7,I7,L7,R7,T7,W7,X7)</f>
        <v>69.639999999999986</v>
      </c>
    </row>
    <row r="8" spans="1:27" ht="14" x14ac:dyDescent="0.2">
      <c r="A8" s="283" t="s">
        <v>477</v>
      </c>
      <c r="B8" s="167" t="s">
        <v>21</v>
      </c>
      <c r="C8" s="351">
        <v>75.5</v>
      </c>
      <c r="D8" s="120">
        <v>65.8</v>
      </c>
      <c r="E8" s="251">
        <v>67.099999999999994</v>
      </c>
      <c r="F8" s="356">
        <v>61.1</v>
      </c>
      <c r="G8" s="352">
        <v>63.6</v>
      </c>
      <c r="H8" s="61">
        <v>62.5</v>
      </c>
      <c r="I8" s="252">
        <v>77.8</v>
      </c>
      <c r="J8" s="34">
        <v>16</v>
      </c>
      <c r="K8" s="35">
        <v>85</v>
      </c>
      <c r="L8" s="64">
        <v>50.5</v>
      </c>
      <c r="M8" s="61">
        <v>2.2999999999999998</v>
      </c>
      <c r="N8" s="35">
        <v>4.5</v>
      </c>
      <c r="O8" s="61">
        <v>3.4</v>
      </c>
      <c r="P8" s="293">
        <f>AVERAGE(C8,D8,E8,F8,I8,J8)</f>
        <v>60.550000000000004</v>
      </c>
      <c r="Q8" s="122">
        <f>AVERAGE(L8,I8,H8,E8,D8,C8)</f>
        <v>66.533333333333331</v>
      </c>
      <c r="R8" s="61">
        <v>26.4</v>
      </c>
      <c r="S8" s="61">
        <v>52.5</v>
      </c>
      <c r="T8" s="34">
        <v>48.9</v>
      </c>
      <c r="U8" s="35">
        <v>67.3</v>
      </c>
      <c r="V8" s="61">
        <f>AVERAGE(R8:T8)</f>
        <v>42.6</v>
      </c>
      <c r="W8" s="136">
        <v>92.2</v>
      </c>
      <c r="X8" s="137">
        <v>87.4</v>
      </c>
      <c r="Y8" s="99">
        <f>AVERAGE(W8,X8)</f>
        <v>89.800000000000011</v>
      </c>
      <c r="Z8" s="143">
        <f t="shared" ref="Z8" si="7">AVERAGE(V8,Q8,Y8)</f>
        <v>66.311111111111117</v>
      </c>
      <c r="AA8" s="144">
        <f>AVERAGE(C8,D8,E8,F8,I8,L8,R8,T8,W8,X8)</f>
        <v>65.27</v>
      </c>
    </row>
    <row r="9" spans="1:27" ht="14" x14ac:dyDescent="0.2">
      <c r="A9" s="283" t="s">
        <v>476</v>
      </c>
      <c r="B9" s="167" t="s">
        <v>21</v>
      </c>
      <c r="C9" s="351">
        <v>72.5</v>
      </c>
      <c r="D9" s="120">
        <v>63.4</v>
      </c>
      <c r="E9" s="251">
        <v>67.7</v>
      </c>
      <c r="F9" s="353">
        <v>62.4</v>
      </c>
      <c r="G9" s="352">
        <v>64.7</v>
      </c>
      <c r="H9" s="61">
        <v>63.7</v>
      </c>
      <c r="I9" s="252">
        <v>78.900000000000006</v>
      </c>
      <c r="J9" s="34">
        <v>18</v>
      </c>
      <c r="K9" s="35">
        <v>89</v>
      </c>
      <c r="L9" s="64">
        <v>53.5</v>
      </c>
      <c r="M9" s="61">
        <v>3</v>
      </c>
      <c r="N9" s="35">
        <v>3.8</v>
      </c>
      <c r="O9" s="61">
        <v>3.4</v>
      </c>
      <c r="P9" s="295">
        <f>AVERAGE(C9,D9,E9,F9,I9,J9)</f>
        <v>60.483333333333327</v>
      </c>
      <c r="Q9" s="193">
        <f>AVERAGE(L9,I9,H9,E9,D9,C9)</f>
        <v>66.61666666666666</v>
      </c>
      <c r="R9" s="61">
        <v>28.1</v>
      </c>
      <c r="S9" s="61">
        <v>53.5</v>
      </c>
      <c r="T9" s="34">
        <v>44.5</v>
      </c>
      <c r="U9" s="35">
        <v>64.3</v>
      </c>
      <c r="V9" s="61">
        <f t="shared" si="0"/>
        <v>42.033333333333331</v>
      </c>
      <c r="W9" s="136">
        <v>91</v>
      </c>
      <c r="X9" s="137">
        <v>86.6</v>
      </c>
      <c r="Y9" s="138">
        <f t="shared" si="4"/>
        <v>88.8</v>
      </c>
      <c r="Z9" s="69">
        <f>AVERAGE(V9,Q9,Y9)</f>
        <v>65.816666666666663</v>
      </c>
      <c r="AA9" s="115">
        <f>AVERAGE(C9,D9,E9,F9,I9,L9,R9,T9,W9,X9)</f>
        <v>64.86</v>
      </c>
    </row>
    <row r="10" spans="1:27" ht="14" x14ac:dyDescent="0.2">
      <c r="A10" s="47" t="s">
        <v>425</v>
      </c>
      <c r="B10" s="128" t="s">
        <v>360</v>
      </c>
      <c r="C10" s="162">
        <v>86.6</v>
      </c>
      <c r="D10" s="127">
        <v>56.4</v>
      </c>
      <c r="E10" s="162">
        <v>70.400000000000006</v>
      </c>
      <c r="F10" s="124">
        <v>22.7</v>
      </c>
      <c r="G10" s="40">
        <v>22.7</v>
      </c>
      <c r="H10" s="43">
        <v>22.7</v>
      </c>
      <c r="I10" s="168">
        <v>83.7</v>
      </c>
      <c r="J10" s="37">
        <v>31</v>
      </c>
      <c r="K10" s="38">
        <v>88</v>
      </c>
      <c r="L10" s="117">
        <v>59.5</v>
      </c>
      <c r="M10" s="61"/>
      <c r="N10" s="38"/>
      <c r="O10" s="61"/>
      <c r="P10" s="293">
        <f>AVERAGE(C10,D10,E10,F10,I10,J10)</f>
        <v>58.466666666666669</v>
      </c>
      <c r="Q10" s="122">
        <f>AVERAGE(L10,I10,H10,E10,D10,C10)</f>
        <v>63.216666666666661</v>
      </c>
      <c r="R10" s="34">
        <v>28.3</v>
      </c>
      <c r="S10" s="61">
        <v>57.2</v>
      </c>
      <c r="T10" s="34">
        <v>56.1</v>
      </c>
      <c r="U10" s="35">
        <v>73.2</v>
      </c>
      <c r="V10" s="61">
        <f t="shared" si="0"/>
        <v>47.199999999999996</v>
      </c>
      <c r="W10" s="97">
        <v>94.1</v>
      </c>
      <c r="X10" s="95">
        <v>89.3</v>
      </c>
      <c r="Y10" s="99">
        <f t="shared" si="4"/>
        <v>91.699999999999989</v>
      </c>
      <c r="Z10" s="143">
        <f t="shared" si="5"/>
        <v>67.37222222222222</v>
      </c>
      <c r="AA10" s="144">
        <f>AVERAGE(C10,D10,E10,F10,I10,L10,R10,T10,W10,X10)</f>
        <v>64.710000000000008</v>
      </c>
    </row>
    <row r="11" spans="1:27" ht="14" x14ac:dyDescent="0.2">
      <c r="A11" s="47" t="s">
        <v>473</v>
      </c>
      <c r="B11" s="66" t="s">
        <v>21</v>
      </c>
      <c r="C11" s="127">
        <v>76</v>
      </c>
      <c r="D11" s="127">
        <v>61.6</v>
      </c>
      <c r="E11" s="127">
        <v>68.25</v>
      </c>
      <c r="F11" s="37">
        <v>61.9</v>
      </c>
      <c r="G11" s="38">
        <v>64.8</v>
      </c>
      <c r="H11" s="61">
        <v>63.6</v>
      </c>
      <c r="I11" s="167">
        <v>75.7</v>
      </c>
      <c r="J11" s="37">
        <v>17</v>
      </c>
      <c r="K11" s="38">
        <v>84</v>
      </c>
      <c r="L11" s="117">
        <v>50.5</v>
      </c>
      <c r="M11" s="61">
        <v>3.8</v>
      </c>
      <c r="N11" s="35">
        <v>7.5</v>
      </c>
      <c r="O11" s="61">
        <v>5.6</v>
      </c>
      <c r="P11" s="293">
        <f t="shared" ref="P11" si="8">AVERAGE(C11,D11,E11,F11,I11,J11)</f>
        <v>60.074999999999996</v>
      </c>
      <c r="Q11" s="122">
        <f t="shared" ref="Q11" si="9">AVERAGE(L11,I11,H11,E11,D11,C11)</f>
        <v>65.941666666666677</v>
      </c>
      <c r="R11" s="61">
        <v>27</v>
      </c>
      <c r="S11" s="61">
        <v>53.2</v>
      </c>
      <c r="T11" s="34">
        <v>47.1</v>
      </c>
      <c r="U11" s="35">
        <v>66.599999999999994</v>
      </c>
      <c r="V11" s="61">
        <f t="shared" si="0"/>
        <v>42.433333333333337</v>
      </c>
      <c r="W11" s="97">
        <v>91.5</v>
      </c>
      <c r="X11" s="95">
        <v>86.9</v>
      </c>
      <c r="Y11" s="99">
        <f t="shared" si="4"/>
        <v>89.2</v>
      </c>
      <c r="Z11" s="143">
        <f>AVERAGE(V11,Q11,Y11)</f>
        <v>65.858333333333334</v>
      </c>
      <c r="AA11" s="144">
        <f>AVERAGE(C11,D11,E11,F11,I11,L11,R11,T11,W11,X11)</f>
        <v>64.644999999999996</v>
      </c>
    </row>
    <row r="12" spans="1:27" ht="14" x14ac:dyDescent="0.2">
      <c r="A12" s="47" t="s">
        <v>423</v>
      </c>
      <c r="B12" s="128" t="s">
        <v>360</v>
      </c>
      <c r="C12" s="162">
        <v>85.7</v>
      </c>
      <c r="D12" s="127">
        <v>57.8</v>
      </c>
      <c r="E12" s="162">
        <v>69.3</v>
      </c>
      <c r="F12" s="124">
        <v>21.6</v>
      </c>
      <c r="G12" s="40">
        <v>22.8</v>
      </c>
      <c r="H12" s="61">
        <v>22.3</v>
      </c>
      <c r="I12" s="168">
        <v>82.7</v>
      </c>
      <c r="J12" s="37">
        <v>32</v>
      </c>
      <c r="K12" s="38">
        <v>88</v>
      </c>
      <c r="L12" s="117">
        <v>60</v>
      </c>
      <c r="M12" s="61">
        <v>7.5</v>
      </c>
      <c r="N12" s="38">
        <v>10.5</v>
      </c>
      <c r="O12" s="61">
        <v>9</v>
      </c>
      <c r="P12" s="293">
        <f>AVERAGE(C12,D12,E12,F12,I12,J12)</f>
        <v>58.183333333333337</v>
      </c>
      <c r="Q12" s="122">
        <f>AVERAGE(L12,I12,H12,E12,D12,C12)</f>
        <v>62.966666666666669</v>
      </c>
      <c r="R12" s="34">
        <v>27.7</v>
      </c>
      <c r="S12" s="61">
        <v>56.8</v>
      </c>
      <c r="T12" s="34">
        <v>56.6</v>
      </c>
      <c r="U12" s="35">
        <v>73.900000000000006</v>
      </c>
      <c r="V12" s="61">
        <f t="shared" ref="V12:V30" si="10">AVERAGE(R12:T12)</f>
        <v>47.033333333333331</v>
      </c>
      <c r="W12" s="97">
        <v>94</v>
      </c>
      <c r="X12" s="95">
        <v>89.3</v>
      </c>
      <c r="Y12" s="99">
        <f t="shared" si="4"/>
        <v>91.65</v>
      </c>
      <c r="Z12" s="143">
        <f t="shared" si="5"/>
        <v>67.216666666666669</v>
      </c>
      <c r="AA12" s="144">
        <f t="shared" ref="AA12" si="11">AVERAGE(C12,D12,E12,F12,I12,L12,R12,T12,W12,X12)</f>
        <v>64.47</v>
      </c>
    </row>
    <row r="13" spans="1:27" ht="14" x14ac:dyDescent="0.2">
      <c r="A13" s="283" t="s">
        <v>474</v>
      </c>
      <c r="B13" s="165" t="s">
        <v>21</v>
      </c>
      <c r="C13" s="66">
        <v>72.900000000000006</v>
      </c>
      <c r="D13" s="120">
        <v>67.2</v>
      </c>
      <c r="E13" s="120">
        <v>69.8</v>
      </c>
      <c r="F13" s="123">
        <v>62.4</v>
      </c>
      <c r="G13" s="36">
        <v>64.8</v>
      </c>
      <c r="H13" s="60">
        <v>63.8</v>
      </c>
      <c r="I13" s="165">
        <v>83.1</v>
      </c>
      <c r="J13" s="34">
        <v>11</v>
      </c>
      <c r="K13" s="35">
        <v>82</v>
      </c>
      <c r="L13" s="64">
        <v>46.5</v>
      </c>
      <c r="M13" s="61">
        <v>6.8</v>
      </c>
      <c r="N13" s="35">
        <v>30.1</v>
      </c>
      <c r="O13" s="61">
        <v>18.399999999999999</v>
      </c>
      <c r="P13" s="109">
        <f>AVERAGE(C13,D13,E13,F13,I13,J13)</f>
        <v>61.066666666666663</v>
      </c>
      <c r="Q13" s="312">
        <f>AVERAGE(L13,I13,H13,E13,D13,C13)</f>
        <v>67.216666666666654</v>
      </c>
      <c r="R13" s="61">
        <v>7.8</v>
      </c>
      <c r="S13" s="38">
        <v>44.3</v>
      </c>
      <c r="T13" s="38">
        <v>41.1</v>
      </c>
      <c r="U13" s="38">
        <v>63.1</v>
      </c>
      <c r="V13" s="61">
        <f>AVERAGE(R13:T13)</f>
        <v>31.066666666666663</v>
      </c>
      <c r="W13" s="136">
        <v>92</v>
      </c>
      <c r="X13" s="137">
        <v>87.2</v>
      </c>
      <c r="Y13" s="138">
        <f t="shared" si="4"/>
        <v>89.6</v>
      </c>
      <c r="Z13" s="310">
        <f>AVERAGE(V13,Q13,Y13)</f>
        <v>62.627777777777773</v>
      </c>
      <c r="AA13" s="311">
        <f>AVERAGE(C13,D13,E13,F13,I13,L13,R13,T13,W13,X13)</f>
        <v>63</v>
      </c>
    </row>
    <row r="14" spans="1:27" ht="14" x14ac:dyDescent="0.2">
      <c r="A14" s="49" t="s">
        <v>475</v>
      </c>
      <c r="B14" s="66" t="s">
        <v>21</v>
      </c>
      <c r="C14" s="120">
        <v>75.400000000000006</v>
      </c>
      <c r="D14" s="120">
        <v>63.4</v>
      </c>
      <c r="E14" s="120">
        <v>69</v>
      </c>
      <c r="F14" s="34">
        <v>60.2</v>
      </c>
      <c r="G14" s="35">
        <v>64.8</v>
      </c>
      <c r="H14" s="61">
        <v>62.9</v>
      </c>
      <c r="I14" s="165">
        <v>83.5</v>
      </c>
      <c r="J14" s="34">
        <v>13</v>
      </c>
      <c r="K14" s="35">
        <v>81</v>
      </c>
      <c r="L14" s="64">
        <v>47</v>
      </c>
      <c r="M14" s="61">
        <v>12.8</v>
      </c>
      <c r="N14" s="35">
        <v>60.9</v>
      </c>
      <c r="O14" s="61">
        <v>36.799999999999997</v>
      </c>
      <c r="P14" s="293">
        <f>AVERAGE(C14,D14,E14,F14,I14,J14)</f>
        <v>60.75</v>
      </c>
      <c r="Q14" s="122">
        <f>AVERAGE(L14,I14,H14,E14,D14,C14)</f>
        <v>66.86666666666666</v>
      </c>
      <c r="R14" s="61">
        <v>8.4</v>
      </c>
      <c r="S14" s="38">
        <v>44.4</v>
      </c>
      <c r="T14" s="38">
        <v>36.6</v>
      </c>
      <c r="U14" s="38">
        <v>60.9</v>
      </c>
      <c r="V14" s="61">
        <f>AVERAGE(R14:T14)</f>
        <v>29.8</v>
      </c>
      <c r="W14" s="97">
        <v>91.9</v>
      </c>
      <c r="X14" s="95">
        <v>86.9</v>
      </c>
      <c r="Y14" s="99">
        <f t="shared" si="4"/>
        <v>89.4</v>
      </c>
      <c r="Z14" s="143">
        <f>AVERAGE(V14,Q14,Y14)</f>
        <v>62.022222222222219</v>
      </c>
      <c r="AA14" s="144">
        <f>AVERAGE(C14,D14,E14,F14,I14,L14,R14,T14,W14,X14)</f>
        <v>62.23</v>
      </c>
    </row>
    <row r="15" spans="1:27" ht="14" x14ac:dyDescent="0.2">
      <c r="A15" s="47" t="s">
        <v>460</v>
      </c>
      <c r="B15" s="66" t="s">
        <v>21</v>
      </c>
      <c r="C15" s="127">
        <v>70.400000000000006</v>
      </c>
      <c r="D15" s="127">
        <v>61</v>
      </c>
      <c r="E15" s="127">
        <v>66.900000000000006</v>
      </c>
      <c r="F15" s="37">
        <v>56.4</v>
      </c>
      <c r="G15" s="38">
        <v>59.2</v>
      </c>
      <c r="H15" s="61">
        <v>58</v>
      </c>
      <c r="I15" s="167">
        <v>83.1</v>
      </c>
      <c r="J15" s="37">
        <v>14</v>
      </c>
      <c r="K15" s="38">
        <v>86</v>
      </c>
      <c r="L15" s="117">
        <v>50</v>
      </c>
      <c r="M15" s="61">
        <v>2.2999999999999998</v>
      </c>
      <c r="N15" s="35">
        <v>4.5</v>
      </c>
      <c r="O15" s="61">
        <v>3.4</v>
      </c>
      <c r="P15" s="293">
        <f t="shared" si="2"/>
        <v>58.633333333333333</v>
      </c>
      <c r="Q15" s="122">
        <f t="shared" si="3"/>
        <v>64.899999999999991</v>
      </c>
      <c r="R15" s="61">
        <v>23.5</v>
      </c>
      <c r="S15" s="38">
        <v>47.8</v>
      </c>
      <c r="T15" s="38">
        <v>35.5</v>
      </c>
      <c r="U15" s="38">
        <v>59.4</v>
      </c>
      <c r="V15" s="61">
        <f>AVERAGE(R15:T15)</f>
        <v>35.6</v>
      </c>
      <c r="W15" s="97">
        <v>88.8</v>
      </c>
      <c r="X15" s="95">
        <v>84</v>
      </c>
      <c r="Y15" s="99">
        <f t="shared" si="4"/>
        <v>86.4</v>
      </c>
      <c r="Z15" s="143">
        <f>AVERAGE(V15,Q15,Y15)</f>
        <v>62.300000000000004</v>
      </c>
      <c r="AA15" s="144">
        <f>AVERAGE(C15,D15,E15,F15,I15,L15,R15,T15,W15,X15)</f>
        <v>61.96</v>
      </c>
    </row>
    <row r="16" spans="1:27" ht="14" x14ac:dyDescent="0.2">
      <c r="A16" s="49" t="s">
        <v>458</v>
      </c>
      <c r="B16" s="66" t="s">
        <v>21</v>
      </c>
      <c r="C16" s="120">
        <v>71.599999999999994</v>
      </c>
      <c r="D16" s="120">
        <v>62</v>
      </c>
      <c r="E16" s="120">
        <v>68.3</v>
      </c>
      <c r="F16" s="34">
        <v>59.1</v>
      </c>
      <c r="G16" s="35">
        <v>62.1</v>
      </c>
      <c r="H16" s="61">
        <v>60.8</v>
      </c>
      <c r="I16" s="165">
        <v>80.7</v>
      </c>
      <c r="J16" s="34">
        <v>12</v>
      </c>
      <c r="K16" s="35">
        <v>87</v>
      </c>
      <c r="L16" s="64">
        <v>49.5</v>
      </c>
      <c r="M16" s="61">
        <v>15</v>
      </c>
      <c r="N16" s="35">
        <v>68.400000000000006</v>
      </c>
      <c r="O16" s="61">
        <v>41.7</v>
      </c>
      <c r="P16" s="293">
        <f t="shared" si="2"/>
        <v>58.949999999999996</v>
      </c>
      <c r="Q16" s="122">
        <f t="shared" si="3"/>
        <v>65.483333333333334</v>
      </c>
      <c r="R16" s="61">
        <v>10.5</v>
      </c>
      <c r="S16" s="38">
        <v>44.5</v>
      </c>
      <c r="T16" s="38">
        <v>35</v>
      </c>
      <c r="U16" s="38">
        <v>60.2</v>
      </c>
      <c r="V16" s="61">
        <f>AVERAGE(R16:T16)</f>
        <v>30</v>
      </c>
      <c r="W16" s="97">
        <v>89.8</v>
      </c>
      <c r="X16" s="95">
        <v>85.4</v>
      </c>
      <c r="Y16" s="99">
        <f t="shared" si="4"/>
        <v>87.6</v>
      </c>
      <c r="Z16" s="143">
        <f>AVERAGE(V16,Q16,Y16)</f>
        <v>61.027777777777771</v>
      </c>
      <c r="AA16" s="144">
        <f>AVERAGE(C16,D16,E16,F16,I16,L16,R16,T16,W16,X16)</f>
        <v>61.19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293">
        <f t="shared" si="2"/>
        <v>52.932249999999989</v>
      </c>
      <c r="Q17" s="122">
        <f t="shared" si="3"/>
        <v>57.682250000000003</v>
      </c>
      <c r="R17" s="61">
        <v>30.3</v>
      </c>
      <c r="S17" s="38">
        <v>60.2</v>
      </c>
      <c r="T17" s="38">
        <v>48</v>
      </c>
      <c r="U17" s="38">
        <v>67.099999999999994</v>
      </c>
      <c r="V17" s="61">
        <f t="shared" si="10"/>
        <v>46.166666666666664</v>
      </c>
      <c r="W17" s="97">
        <v>93.5</v>
      </c>
      <c r="X17" s="95">
        <v>88.6</v>
      </c>
      <c r="Y17" s="99">
        <f t="shared" si="4"/>
        <v>91.05</v>
      </c>
      <c r="Z17" s="308">
        <f t="shared" si="5"/>
        <v>64.96630555555555</v>
      </c>
      <c r="AA17" s="309">
        <f t="shared" si="6"/>
        <v>60.649349999999991</v>
      </c>
    </row>
    <row r="18" spans="1:27" ht="14" x14ac:dyDescent="0.2">
      <c r="A18" s="47" t="s">
        <v>457</v>
      </c>
      <c r="B18" s="66" t="s">
        <v>21</v>
      </c>
      <c r="C18" s="127">
        <v>69.099999999999994</v>
      </c>
      <c r="D18" s="127">
        <v>60.8</v>
      </c>
      <c r="E18" s="127">
        <v>68.2</v>
      </c>
      <c r="F18" s="37">
        <v>59.2</v>
      </c>
      <c r="G18" s="38">
        <v>62.5</v>
      </c>
      <c r="H18" s="61">
        <v>61.1</v>
      </c>
      <c r="I18" s="167">
        <v>82.5</v>
      </c>
      <c r="J18" s="37">
        <v>13</v>
      </c>
      <c r="K18" s="38">
        <v>69</v>
      </c>
      <c r="L18" s="117">
        <v>41</v>
      </c>
      <c r="M18" s="61">
        <v>5.3</v>
      </c>
      <c r="N18" s="35">
        <v>27.1</v>
      </c>
      <c r="O18" s="61">
        <v>16.2</v>
      </c>
      <c r="P18" s="293">
        <f t="shared" si="2"/>
        <v>58.79999999999999</v>
      </c>
      <c r="Q18" s="122">
        <f t="shared" si="3"/>
        <v>63.783333333333339</v>
      </c>
      <c r="R18" s="61">
        <v>9.6</v>
      </c>
      <c r="S18" s="38">
        <v>44.7</v>
      </c>
      <c r="T18" s="38">
        <v>35.9</v>
      </c>
      <c r="U18" s="38">
        <v>60.7</v>
      </c>
      <c r="V18" s="61">
        <f>AVERAGE(R18:T18)</f>
        <v>30.066666666666666</v>
      </c>
      <c r="W18" s="97">
        <v>90.9</v>
      </c>
      <c r="X18" s="95">
        <v>86.2</v>
      </c>
      <c r="Y18" s="99">
        <f t="shared" si="4"/>
        <v>88.550000000000011</v>
      </c>
      <c r="Z18" s="308">
        <f t="shared" si="5"/>
        <v>60.800000000000011</v>
      </c>
      <c r="AA18" s="309">
        <f t="shared" si="6"/>
        <v>60.339999999999996</v>
      </c>
    </row>
    <row r="19" spans="1:27" ht="14" x14ac:dyDescent="0.2">
      <c r="A19" s="280" t="s">
        <v>406</v>
      </c>
      <c r="B19" s="165" t="s">
        <v>358</v>
      </c>
      <c r="C19" s="313">
        <v>77.8</v>
      </c>
      <c r="D19" s="120">
        <v>36.6</v>
      </c>
      <c r="E19" s="120">
        <v>65</v>
      </c>
      <c r="F19" s="34">
        <v>26.9</v>
      </c>
      <c r="G19" s="35">
        <v>28.2</v>
      </c>
      <c r="H19" s="61">
        <v>27.7</v>
      </c>
      <c r="I19" s="165">
        <v>65.3</v>
      </c>
      <c r="J19" s="61">
        <v>26</v>
      </c>
      <c r="K19" s="35">
        <v>87</v>
      </c>
      <c r="L19" s="290">
        <v>56.5</v>
      </c>
      <c r="M19" s="61">
        <v>3.8</v>
      </c>
      <c r="N19" s="35">
        <v>15</v>
      </c>
      <c r="O19" s="61">
        <v>9.4</v>
      </c>
      <c r="P19" s="293">
        <f>AVERAGE(C19,D19,E19,F19,I19,J19)</f>
        <v>49.6</v>
      </c>
      <c r="Q19" s="147">
        <f>AVERAGE(L19,I19,H19,E19,D19,C19)</f>
        <v>54.816666666666663</v>
      </c>
      <c r="R19" s="61">
        <v>16.8</v>
      </c>
      <c r="S19" s="38">
        <v>48.4</v>
      </c>
      <c r="T19" s="38">
        <v>38.6</v>
      </c>
      <c r="U19" s="38">
        <v>62</v>
      </c>
      <c r="V19" s="61">
        <f>AVERAGE(R19:T19)</f>
        <v>34.6</v>
      </c>
      <c r="W19" s="315">
        <v>85.7</v>
      </c>
      <c r="X19" s="206">
        <v>81.7</v>
      </c>
      <c r="Y19" s="316">
        <f t="shared" si="4"/>
        <v>83.7</v>
      </c>
      <c r="Z19" s="317">
        <f>AVERAGE(V19,Q19,Y19)</f>
        <v>57.705555555555556</v>
      </c>
      <c r="AA19" s="318">
        <f>AVERAGE(C19,D19,E19,F19,I19,L19,R19,T19,W19,X19)</f>
        <v>55.090000000000011</v>
      </c>
    </row>
    <row r="20" spans="1:27" ht="14" x14ac:dyDescent="0.2">
      <c r="A20" s="280" t="s">
        <v>465</v>
      </c>
      <c r="B20" s="167" t="s">
        <v>21</v>
      </c>
      <c r="C20" s="66">
        <v>62.4</v>
      </c>
      <c r="D20" s="120">
        <v>62.4</v>
      </c>
      <c r="E20" s="120">
        <v>67.099999999999994</v>
      </c>
      <c r="F20" s="34">
        <v>58.5</v>
      </c>
      <c r="G20" s="35">
        <v>60.6</v>
      </c>
      <c r="H20" s="61">
        <v>59.7</v>
      </c>
      <c r="I20" s="165">
        <v>84</v>
      </c>
      <c r="J20" s="61">
        <v>17</v>
      </c>
      <c r="K20" s="35">
        <v>55</v>
      </c>
      <c r="L20" s="290">
        <v>36</v>
      </c>
      <c r="M20" s="61">
        <v>3.8</v>
      </c>
      <c r="N20" s="35">
        <v>32.200000000000003</v>
      </c>
      <c r="O20" s="61">
        <v>18.100000000000001</v>
      </c>
      <c r="P20" s="293">
        <f t="shared" ref="P20" si="13">AVERAGE(C20,D20,E20,F20,I20,J20)</f>
        <v>58.566666666666663</v>
      </c>
      <c r="Q20" s="139">
        <f t="shared" ref="Q20" si="14">AVERAGE(L20,I20,H20,E20,D20,C20)</f>
        <v>61.93333333333333</v>
      </c>
      <c r="R20" s="61">
        <v>4.3</v>
      </c>
      <c r="S20" s="35">
        <v>40.4</v>
      </c>
      <c r="T20" s="35">
        <v>8.8000000000000007</v>
      </c>
      <c r="U20" s="35">
        <v>40.799999999999997</v>
      </c>
      <c r="V20" s="92">
        <f>AVERAGE(R20:T20)</f>
        <v>17.833333333333332</v>
      </c>
      <c r="W20" s="315">
        <v>81.099999999999994</v>
      </c>
      <c r="X20" s="206">
        <v>77.900000000000006</v>
      </c>
      <c r="Y20" s="114">
        <f t="shared" si="4"/>
        <v>79.5</v>
      </c>
      <c r="Z20" s="308">
        <f>AVERAGE(V20,Q20,Y20)</f>
        <v>53.088888888888881</v>
      </c>
      <c r="AA20" s="309">
        <f>AVERAGE(C20,D20,E20,F20,I20,L20,R20,T20,W20,X20)</f>
        <v>54.25</v>
      </c>
    </row>
    <row r="21" spans="1:27" ht="14" x14ac:dyDescent="0.2">
      <c r="A21" s="280" t="s">
        <v>471</v>
      </c>
      <c r="B21" s="167" t="s">
        <v>21</v>
      </c>
      <c r="C21" s="66">
        <v>53.8</v>
      </c>
      <c r="D21" s="120">
        <v>60</v>
      </c>
      <c r="E21" s="120">
        <v>68.400000000000006</v>
      </c>
      <c r="F21" s="34">
        <v>38.799999999999997</v>
      </c>
      <c r="G21" s="35">
        <v>47.1</v>
      </c>
      <c r="H21" s="61">
        <v>43.5</v>
      </c>
      <c r="I21" s="165">
        <v>83.6</v>
      </c>
      <c r="J21" s="61">
        <v>14</v>
      </c>
      <c r="K21" s="35">
        <v>67</v>
      </c>
      <c r="L21" s="290">
        <v>40.5</v>
      </c>
      <c r="M21" s="61">
        <v>15.8</v>
      </c>
      <c r="N21" s="35">
        <v>39.1</v>
      </c>
      <c r="O21" s="61">
        <v>27.4</v>
      </c>
      <c r="P21" s="293">
        <f t="shared" ref="P21:P26" si="15">AVERAGE(C21,D21,E21,F21,I21,J21)</f>
        <v>53.1</v>
      </c>
      <c r="Q21" s="122">
        <f t="shared" ref="Q21:Q26" si="16">AVERAGE(L21,I21,H21,E21,D21,C21)</f>
        <v>58.300000000000004</v>
      </c>
      <c r="R21" s="61">
        <v>16.100000000000001</v>
      </c>
      <c r="S21" s="38">
        <v>41.7</v>
      </c>
      <c r="T21" s="38">
        <v>27.9</v>
      </c>
      <c r="U21" s="38">
        <v>53.5</v>
      </c>
      <c r="V21" s="61">
        <f>AVERAGE(R21:T21)</f>
        <v>28.566666666666666</v>
      </c>
      <c r="W21" s="97">
        <v>75.3</v>
      </c>
      <c r="X21" s="95">
        <v>73.900000000000006</v>
      </c>
      <c r="Y21" s="99">
        <f t="shared" si="4"/>
        <v>74.599999999999994</v>
      </c>
      <c r="Z21" s="312">
        <f>AVERAGE(V21,Q21,Y21)</f>
        <v>53.822222222222223</v>
      </c>
      <c r="AA21" s="350">
        <f>AVERAGE(C21,D21,E21,F21,I21,L21,R21,T21,W21,X21)</f>
        <v>53.830000000000005</v>
      </c>
    </row>
    <row r="22" spans="1:27" ht="14" x14ac:dyDescent="0.2">
      <c r="A22" s="280" t="s">
        <v>464</v>
      </c>
      <c r="B22" s="167" t="s">
        <v>21</v>
      </c>
      <c r="C22" s="128">
        <v>59.3</v>
      </c>
      <c r="D22" s="127">
        <v>60.4</v>
      </c>
      <c r="E22" s="127">
        <v>67.7</v>
      </c>
      <c r="F22" s="145">
        <v>57.9</v>
      </c>
      <c r="G22" s="38">
        <v>60</v>
      </c>
      <c r="H22" s="145">
        <v>59.1</v>
      </c>
      <c r="I22" s="167">
        <v>75.3</v>
      </c>
      <c r="J22" s="145">
        <v>7</v>
      </c>
      <c r="K22" s="38">
        <v>69</v>
      </c>
      <c r="L22" s="145">
        <v>38</v>
      </c>
      <c r="M22" s="285">
        <v>8.3000000000000007</v>
      </c>
      <c r="N22" s="38">
        <v>21.1</v>
      </c>
      <c r="O22" s="145">
        <v>14.7</v>
      </c>
      <c r="P22" s="292">
        <f t="shared" si="15"/>
        <v>54.599999999999994</v>
      </c>
      <c r="Q22" s="122">
        <f t="shared" si="16"/>
        <v>59.966666666666669</v>
      </c>
      <c r="R22" s="145">
        <v>11</v>
      </c>
      <c r="S22" s="38">
        <v>41.9</v>
      </c>
      <c r="T22" s="38">
        <v>6.3</v>
      </c>
      <c r="U22" s="38">
        <v>40.200000000000003</v>
      </c>
      <c r="V22" s="128">
        <f>AVERAGE(R22:T22)</f>
        <v>19.733333333333331</v>
      </c>
      <c r="W22" s="285">
        <v>72.5</v>
      </c>
      <c r="X22" s="268">
        <v>70.8</v>
      </c>
      <c r="Y22" s="145">
        <f t="shared" si="4"/>
        <v>71.650000000000006</v>
      </c>
      <c r="Z22" s="308">
        <f>AVERAGE(V22,Q22,Y22)</f>
        <v>50.45000000000001</v>
      </c>
      <c r="AA22" s="309">
        <f>AVERAGE(C22,D22,E22,F22,I22,L22,R22,T22,W22,X22)</f>
        <v>51.919999999999995</v>
      </c>
    </row>
    <row r="23" spans="1:27" ht="14" x14ac:dyDescent="0.2">
      <c r="A23" s="283" t="s">
        <v>413</v>
      </c>
      <c r="B23" s="165" t="s">
        <v>358</v>
      </c>
      <c r="C23" s="128">
        <v>52.9</v>
      </c>
      <c r="D23" s="127">
        <v>18.2</v>
      </c>
      <c r="E23" s="127">
        <v>59.5</v>
      </c>
      <c r="F23" s="37">
        <v>7.4</v>
      </c>
      <c r="G23" s="38">
        <v>7.7</v>
      </c>
      <c r="H23" s="43">
        <v>7.6</v>
      </c>
      <c r="I23" s="167">
        <v>78.8</v>
      </c>
      <c r="J23" s="37">
        <v>16</v>
      </c>
      <c r="K23" s="38">
        <v>80</v>
      </c>
      <c r="L23" s="117">
        <v>48</v>
      </c>
      <c r="M23" s="61">
        <v>1</v>
      </c>
      <c r="N23" s="38">
        <v>3</v>
      </c>
      <c r="O23" s="61">
        <v>2</v>
      </c>
      <c r="P23" s="109">
        <f t="shared" si="15"/>
        <v>38.800000000000004</v>
      </c>
      <c r="Q23" s="312">
        <f t="shared" si="16"/>
        <v>44.166666666666664</v>
      </c>
      <c r="R23" s="61">
        <v>24.1</v>
      </c>
      <c r="S23" s="38">
        <v>53.8</v>
      </c>
      <c r="T23" s="38">
        <v>49.9</v>
      </c>
      <c r="U23" s="38">
        <v>69.099999999999994</v>
      </c>
      <c r="V23" s="61">
        <f t="shared" si="10"/>
        <v>42.6</v>
      </c>
      <c r="W23" s="97">
        <v>92.6</v>
      </c>
      <c r="X23" s="95">
        <v>87.7</v>
      </c>
      <c r="Y23" s="99">
        <f t="shared" ref="Y23" si="17">AVERAGE(W23,X23)</f>
        <v>90.15</v>
      </c>
      <c r="Z23" s="308">
        <f t="shared" si="5"/>
        <v>58.972222222222229</v>
      </c>
      <c r="AA23" s="309">
        <f t="shared" si="6"/>
        <v>51.910000000000004</v>
      </c>
    </row>
    <row r="24" spans="1:27" ht="14" x14ac:dyDescent="0.2">
      <c r="A24" s="280" t="s">
        <v>461</v>
      </c>
      <c r="B24" s="167" t="s">
        <v>21</v>
      </c>
      <c r="C24" s="66">
        <v>64.900000000000006</v>
      </c>
      <c r="D24" s="120">
        <v>62.2</v>
      </c>
      <c r="E24" s="120">
        <v>65.599999999999994</v>
      </c>
      <c r="F24" s="34">
        <v>60</v>
      </c>
      <c r="G24" s="35">
        <v>62.2</v>
      </c>
      <c r="H24" s="61">
        <v>61.3</v>
      </c>
      <c r="I24" s="165">
        <v>82.1</v>
      </c>
      <c r="J24" s="34">
        <v>4</v>
      </c>
      <c r="K24" s="35">
        <v>21</v>
      </c>
      <c r="L24" s="64">
        <v>12.5</v>
      </c>
      <c r="M24" s="61">
        <v>6.8</v>
      </c>
      <c r="N24" s="35">
        <v>29.3</v>
      </c>
      <c r="O24" s="61">
        <v>18.100000000000001</v>
      </c>
      <c r="P24" s="293">
        <f t="shared" si="15"/>
        <v>56.466666666666661</v>
      </c>
      <c r="Q24" s="122">
        <f t="shared" si="16"/>
        <v>58.1</v>
      </c>
      <c r="R24" s="148">
        <v>4.5999999999999996</v>
      </c>
      <c r="S24" s="38">
        <v>39.700000000000003</v>
      </c>
      <c r="T24" s="38">
        <v>4.5999999999999996</v>
      </c>
      <c r="U24" s="38">
        <v>38.6</v>
      </c>
      <c r="V24" s="61">
        <f>AVERAGE(R24:T24)</f>
        <v>16.3</v>
      </c>
      <c r="W24" s="149">
        <v>78.3</v>
      </c>
      <c r="X24" s="150">
        <v>75.3</v>
      </c>
      <c r="Y24" s="151">
        <f>AVERAGE(W24,X24)</f>
        <v>76.8</v>
      </c>
      <c r="Z24" s="317">
        <f>AVERAGE(V24,Q24,Y24)</f>
        <v>50.4</v>
      </c>
      <c r="AA24" s="318">
        <f>AVERAGE(C24,D24,E24,F24,I24,L24,R24,T24,W24,X24)</f>
        <v>51.010000000000005</v>
      </c>
    </row>
    <row r="25" spans="1:27" ht="14" x14ac:dyDescent="0.2">
      <c r="A25" s="280" t="s">
        <v>462</v>
      </c>
      <c r="B25" s="281" t="s">
        <v>21</v>
      </c>
      <c r="C25" s="313">
        <v>62.8</v>
      </c>
      <c r="D25" s="120">
        <v>55.6</v>
      </c>
      <c r="E25" s="120">
        <v>63.1</v>
      </c>
      <c r="F25" s="34">
        <v>56.2</v>
      </c>
      <c r="G25" s="35">
        <v>58.1</v>
      </c>
      <c r="H25" s="61">
        <v>57.3</v>
      </c>
      <c r="I25" s="165">
        <v>67.7</v>
      </c>
      <c r="J25" s="34">
        <v>6</v>
      </c>
      <c r="K25" s="35">
        <v>75</v>
      </c>
      <c r="L25" s="64">
        <v>45.5</v>
      </c>
      <c r="M25" s="61">
        <v>15.8</v>
      </c>
      <c r="N25" s="35">
        <v>70.7</v>
      </c>
      <c r="O25" s="61">
        <v>43.2</v>
      </c>
      <c r="P25" s="293">
        <f t="shared" si="15"/>
        <v>51.9</v>
      </c>
      <c r="Q25" s="147">
        <f t="shared" si="16"/>
        <v>58.666666666666664</v>
      </c>
      <c r="R25" s="61">
        <v>4.0999999999999996</v>
      </c>
      <c r="S25" s="35">
        <v>40.1</v>
      </c>
      <c r="T25" s="35">
        <v>2.6</v>
      </c>
      <c r="U25" s="34">
        <v>37.799999999999997</v>
      </c>
      <c r="V25" s="61">
        <f>AVERAGE(R25:T25)</f>
        <v>15.600000000000001</v>
      </c>
      <c r="W25" s="315">
        <v>75.5</v>
      </c>
      <c r="X25" s="206">
        <v>73.5</v>
      </c>
      <c r="Y25" s="316">
        <f>AVERAGE(W25,X25)</f>
        <v>74.5</v>
      </c>
      <c r="Z25" s="317">
        <f>AVERAGE(V25,Q25,Y25)</f>
        <v>49.588888888888881</v>
      </c>
      <c r="AA25" s="318">
        <f>AVERAGE(C25,D25,E25,F25,I25,L25,R25,T25,W25,X25)</f>
        <v>50.660000000000004</v>
      </c>
    </row>
    <row r="26" spans="1:27" ht="14" x14ac:dyDescent="0.2">
      <c r="A26" s="116" t="s">
        <v>469</v>
      </c>
      <c r="B26" s="167" t="s">
        <v>358</v>
      </c>
      <c r="C26" s="128">
        <v>35.799999999999997</v>
      </c>
      <c r="D26" s="127">
        <v>21.8</v>
      </c>
      <c r="E26" s="127">
        <v>57.2</v>
      </c>
      <c r="F26" s="37">
        <v>5.5</v>
      </c>
      <c r="G26" s="44">
        <v>5.5</v>
      </c>
      <c r="H26" s="145">
        <v>5.5</v>
      </c>
      <c r="I26" s="167">
        <v>73.900000000000006</v>
      </c>
      <c r="J26" s="145">
        <v>22</v>
      </c>
      <c r="K26" s="39">
        <v>96</v>
      </c>
      <c r="L26" s="117">
        <v>59</v>
      </c>
      <c r="M26" s="145">
        <v>0</v>
      </c>
      <c r="N26" s="38">
        <v>2.2999999999999998</v>
      </c>
      <c r="O26" s="145">
        <v>1.1000000000000001</v>
      </c>
      <c r="P26" s="292">
        <f t="shared" si="15"/>
        <v>36.033333333333331</v>
      </c>
      <c r="Q26" s="202">
        <f t="shared" si="16"/>
        <v>42.20000000000001</v>
      </c>
      <c r="R26" s="145">
        <v>20.2</v>
      </c>
      <c r="S26" s="145">
        <v>52.8</v>
      </c>
      <c r="T26" s="145">
        <v>49.8</v>
      </c>
      <c r="U26" s="145">
        <v>69.599999999999994</v>
      </c>
      <c r="V26" s="145">
        <f>AVERAGE(R26:T26)</f>
        <v>40.93333333333333</v>
      </c>
      <c r="W26" s="285">
        <v>92.3</v>
      </c>
      <c r="X26" s="145">
        <v>87.9</v>
      </c>
      <c r="Y26" s="145">
        <f>AVERAGE(W26,X26)</f>
        <v>90.1</v>
      </c>
      <c r="Z26" s="319">
        <f t="shared" ref="Z26" si="18">AVERAGE(V26,Q26,Y26)</f>
        <v>57.744444444444447</v>
      </c>
      <c r="AA26" s="319">
        <f t="shared" ref="AA26" si="19">AVERAGE(C26,D26,E26,F26,I26,L26,R26,T26,W26,X26)</f>
        <v>50.339999999999996</v>
      </c>
    </row>
    <row r="27" spans="1:27" ht="14" x14ac:dyDescent="0.2">
      <c r="A27" s="89" t="s">
        <v>361</v>
      </c>
      <c r="B27" s="193" t="s">
        <v>358</v>
      </c>
      <c r="C27" s="245">
        <v>36.799999999999997</v>
      </c>
      <c r="D27" s="245">
        <v>16</v>
      </c>
      <c r="E27" s="245">
        <v>57.1</v>
      </c>
      <c r="F27" s="231">
        <v>6.2</v>
      </c>
      <c r="G27" s="268">
        <v>6.2</v>
      </c>
      <c r="H27" s="269">
        <v>6.2</v>
      </c>
      <c r="I27" s="270">
        <v>71.8</v>
      </c>
      <c r="J27" s="231">
        <v>16</v>
      </c>
      <c r="K27" s="232">
        <v>88</v>
      </c>
      <c r="L27" s="233">
        <v>52</v>
      </c>
      <c r="M27" s="148"/>
      <c r="N27" s="274"/>
      <c r="O27" s="145"/>
      <c r="P27" s="292">
        <f t="shared" ref="P27" si="20">AVERAGE(C27,D27,E27,F27,I27,J27)</f>
        <v>33.983333333333334</v>
      </c>
      <c r="Q27" s="202">
        <f t="shared" ref="Q27" si="21">AVERAGE(L27,I27,H27,E27,D27,C27)</f>
        <v>39.983333333333327</v>
      </c>
      <c r="R27" s="37">
        <v>23.3</v>
      </c>
      <c r="S27" s="38">
        <v>53</v>
      </c>
      <c r="T27" s="38">
        <v>47.2</v>
      </c>
      <c r="U27" s="277">
        <v>68.5</v>
      </c>
      <c r="V27" s="61">
        <f t="shared" si="10"/>
        <v>41.166666666666664</v>
      </c>
      <c r="W27" s="203">
        <v>91</v>
      </c>
      <c r="X27" s="204">
        <v>85.9</v>
      </c>
      <c r="Y27" s="205">
        <f t="shared" ref="Y27" si="22">AVERAGE(W27,X27)</f>
        <v>88.45</v>
      </c>
      <c r="Z27" s="308">
        <f t="shared" si="5"/>
        <v>56.533333333333331</v>
      </c>
      <c r="AA27" s="309">
        <f t="shared" si="6"/>
        <v>48.73</v>
      </c>
    </row>
    <row r="28" spans="1:27" ht="14" x14ac:dyDescent="0.2">
      <c r="A28" s="280" t="s">
        <v>472</v>
      </c>
      <c r="B28" s="167" t="s">
        <v>358</v>
      </c>
      <c r="C28" s="66">
        <v>39.4</v>
      </c>
      <c r="D28" s="120">
        <v>32.6</v>
      </c>
      <c r="E28" s="120">
        <v>57.6</v>
      </c>
      <c r="F28" s="34">
        <v>7.6</v>
      </c>
      <c r="G28" s="35">
        <v>7.7</v>
      </c>
      <c r="H28" s="61">
        <v>7.7</v>
      </c>
      <c r="I28" s="165">
        <v>73.3</v>
      </c>
      <c r="J28" s="61">
        <v>10</v>
      </c>
      <c r="K28" s="35">
        <v>40</v>
      </c>
      <c r="L28" s="290">
        <v>25</v>
      </c>
      <c r="M28" s="61">
        <v>3</v>
      </c>
      <c r="N28" s="35">
        <v>13.5</v>
      </c>
      <c r="O28" s="61">
        <v>8.3000000000000007</v>
      </c>
      <c r="P28" s="293">
        <f>AVERAGE(C28,D28,E28,F28,I28,J28)</f>
        <v>36.75</v>
      </c>
      <c r="Q28" s="135">
        <f>AVERAGE(L28,I28,H28,E28,D28,C28)</f>
        <v>39.266666666666666</v>
      </c>
      <c r="R28" s="61">
        <v>23</v>
      </c>
      <c r="S28" s="38">
        <v>53.7</v>
      </c>
      <c r="T28" s="38">
        <v>49.2</v>
      </c>
      <c r="U28" s="38">
        <v>69.8</v>
      </c>
      <c r="V28" s="61">
        <f>AVERAGE(R28:T28)</f>
        <v>41.966666666666669</v>
      </c>
      <c r="W28" s="112">
        <v>91.4</v>
      </c>
      <c r="X28" s="113">
        <v>87</v>
      </c>
      <c r="Y28" s="114">
        <f>AVERAGE(W28,X28)</f>
        <v>89.2</v>
      </c>
      <c r="Z28" s="317">
        <f>AVERAGE(V28,Q28,Y28)</f>
        <v>56.81111111111111</v>
      </c>
      <c r="AA28" s="318">
        <f>AVERAGE(C28,D28,E28,F28,I28,L28,R28,T28,W28,X28)</f>
        <v>48.61</v>
      </c>
    </row>
    <row r="29" spans="1:27" ht="15.75" customHeight="1" x14ac:dyDescent="0.2">
      <c r="A29" s="280" t="s">
        <v>463</v>
      </c>
      <c r="B29" s="288" t="s">
        <v>21</v>
      </c>
      <c r="C29" s="297">
        <v>64.400000000000006</v>
      </c>
      <c r="D29" s="298">
        <v>49.8</v>
      </c>
      <c r="E29" s="298">
        <v>65.099999999999994</v>
      </c>
      <c r="F29" s="299">
        <v>34.4</v>
      </c>
      <c r="G29" s="300">
        <v>35.799999999999997</v>
      </c>
      <c r="H29" s="301">
        <v>35.200000000000003</v>
      </c>
      <c r="I29" s="296">
        <v>71</v>
      </c>
      <c r="J29" s="302">
        <v>2</v>
      </c>
      <c r="K29" s="303">
        <v>26</v>
      </c>
      <c r="L29" s="302">
        <v>14</v>
      </c>
      <c r="M29" s="286">
        <v>5.3</v>
      </c>
      <c r="N29" s="303">
        <v>54.1</v>
      </c>
      <c r="O29" s="302">
        <v>29.7</v>
      </c>
      <c r="P29" s="298">
        <f>AVERAGE(C29,D29,E29,F29,I29,J29)</f>
        <v>47.783333333333339</v>
      </c>
      <c r="Q29" s="304">
        <f>AVERAGE(L29,I29,H29,E29,D29,C29)</f>
        <v>49.916666666666664</v>
      </c>
      <c r="R29" s="305">
        <v>14.6</v>
      </c>
      <c r="S29" s="327">
        <v>40.700000000000003</v>
      </c>
      <c r="T29" s="327">
        <v>13.8</v>
      </c>
      <c r="U29" s="306">
        <v>45.3</v>
      </c>
      <c r="V29" s="307">
        <f>AVERAGE(R29:T29)</f>
        <v>23.033333333333335</v>
      </c>
      <c r="W29" s="286">
        <v>68.900000000000006</v>
      </c>
      <c r="X29" s="328">
        <v>66</v>
      </c>
      <c r="Y29" s="302">
        <f>AVERAGE(W29,X29)</f>
        <v>67.45</v>
      </c>
      <c r="Z29" s="287">
        <f>AVERAGE(V29,Q29,Y29)</f>
        <v>46.800000000000004</v>
      </c>
      <c r="AA29" s="287">
        <f>AVERAGE(C29,D29,E29,F29,I29,L29,R29,T29,W29,X29)</f>
        <v>46.20000000000001</v>
      </c>
    </row>
    <row r="30" spans="1:27" ht="14" x14ac:dyDescent="0.2">
      <c r="A30" s="116" t="s">
        <v>362</v>
      </c>
      <c r="B30" s="128" t="s">
        <v>358</v>
      </c>
      <c r="C30" s="127">
        <v>59.7</v>
      </c>
      <c r="D30" s="127">
        <v>12</v>
      </c>
      <c r="E30" s="127">
        <v>42.1</v>
      </c>
      <c r="F30" s="37">
        <v>7.8</v>
      </c>
      <c r="G30" s="38">
        <v>8</v>
      </c>
      <c r="H30" s="44">
        <v>7.9</v>
      </c>
      <c r="I30" s="167">
        <v>73.599999999999994</v>
      </c>
      <c r="J30" s="37">
        <v>18</v>
      </c>
      <c r="K30" s="38">
        <v>64</v>
      </c>
      <c r="L30" s="117">
        <v>41</v>
      </c>
      <c r="M30" s="145">
        <v>3.8</v>
      </c>
      <c r="N30" s="38">
        <v>14.3</v>
      </c>
      <c r="O30" s="145">
        <v>9</v>
      </c>
      <c r="P30" s="292">
        <f t="shared" ref="P30" si="23">AVERAGE(C30,D30,E30,F30,I30,J30)</f>
        <v>35.533333333333331</v>
      </c>
      <c r="Q30" s="202">
        <f t="shared" ref="Q30" si="24">AVERAGE(L30,I30,H30,E30,D30,C30)</f>
        <v>39.383333333333333</v>
      </c>
      <c r="R30" s="267">
        <v>16.100000000000001</v>
      </c>
      <c r="S30" s="145">
        <v>47.9</v>
      </c>
      <c r="T30" s="44">
        <v>29.1</v>
      </c>
      <c r="U30" s="145">
        <v>58.3</v>
      </c>
      <c r="V30" s="145">
        <f t="shared" si="10"/>
        <v>31.033333333333331</v>
      </c>
      <c r="W30" s="203">
        <v>86.2</v>
      </c>
      <c r="X30" s="204">
        <v>82.7</v>
      </c>
      <c r="Y30" s="205">
        <f t="shared" ref="Y30" si="25">AVERAGE(W30,X30)</f>
        <v>84.45</v>
      </c>
      <c r="Z30" s="319">
        <f t="shared" si="5"/>
        <v>51.622222222222227</v>
      </c>
      <c r="AA30" s="319">
        <f t="shared" si="6"/>
        <v>45.029999999999994</v>
      </c>
    </row>
    <row r="31" spans="1:27" ht="14" x14ac:dyDescent="0.2">
      <c r="A31" s="280" t="s">
        <v>470</v>
      </c>
      <c r="B31" s="165" t="s">
        <v>21</v>
      </c>
      <c r="C31" s="66">
        <v>38.5</v>
      </c>
      <c r="D31" s="120">
        <v>27.8</v>
      </c>
      <c r="E31" s="120">
        <v>45.6</v>
      </c>
      <c r="F31" s="34">
        <v>33.4</v>
      </c>
      <c r="G31" s="35">
        <v>38.4</v>
      </c>
      <c r="H31" s="61">
        <v>36.299999999999997</v>
      </c>
      <c r="I31" s="165">
        <v>87.4</v>
      </c>
      <c r="J31" s="61">
        <v>1</v>
      </c>
      <c r="K31" s="35">
        <v>20</v>
      </c>
      <c r="L31" s="290">
        <v>10.5</v>
      </c>
      <c r="M31" s="61">
        <v>4.5</v>
      </c>
      <c r="N31" s="35">
        <v>21.1</v>
      </c>
      <c r="O31" s="61">
        <v>12.8</v>
      </c>
      <c r="P31" s="293">
        <f>AVERAGE(C31,D31,E31,F31,I31,J31)</f>
        <v>38.950000000000003</v>
      </c>
      <c r="Q31" s="147">
        <f>AVERAGE(L31,I31,H31,E31,D31,C31)</f>
        <v>41.016666666666666</v>
      </c>
      <c r="R31" s="61">
        <v>18.7</v>
      </c>
      <c r="S31" s="38">
        <v>41.6</v>
      </c>
      <c r="T31" s="38">
        <v>27.7</v>
      </c>
      <c r="U31" s="38">
        <v>53.4</v>
      </c>
      <c r="V31" s="61">
        <f>AVERAGE(R31:T31)</f>
        <v>29.333333333333332</v>
      </c>
      <c r="W31" s="97">
        <v>74.7</v>
      </c>
      <c r="X31" s="95">
        <v>73.400000000000006</v>
      </c>
      <c r="Y31" s="316">
        <f>AVERAGE(W31,X31)</f>
        <v>74.050000000000011</v>
      </c>
      <c r="Z31" s="317">
        <f>AVERAGE(V31,Q31,Y31)</f>
        <v>48.133333333333333</v>
      </c>
      <c r="AA31" s="318">
        <f>AVERAGE(C31,D31,E31,F31,I31,L31,R31,T31,W31,X31)</f>
        <v>43.77</v>
      </c>
    </row>
    <row r="32" spans="1:27" ht="14" x14ac:dyDescent="0.2">
      <c r="A32" s="280" t="s">
        <v>467</v>
      </c>
      <c r="B32" s="167" t="s">
        <v>21</v>
      </c>
      <c r="C32" s="66">
        <v>41.5</v>
      </c>
      <c r="D32" s="120">
        <v>23</v>
      </c>
      <c r="E32" s="120">
        <v>52.2</v>
      </c>
      <c r="F32" s="34">
        <v>50.7</v>
      </c>
      <c r="G32" s="35">
        <v>54.8</v>
      </c>
      <c r="H32" s="61">
        <v>53</v>
      </c>
      <c r="I32" s="165">
        <v>81.2</v>
      </c>
      <c r="J32" s="61">
        <v>1</v>
      </c>
      <c r="K32" s="35">
        <v>24</v>
      </c>
      <c r="L32" s="290">
        <v>12.5</v>
      </c>
      <c r="M32" s="61">
        <v>10.5</v>
      </c>
      <c r="N32" s="35">
        <v>28.6</v>
      </c>
      <c r="O32" s="61">
        <v>19.600000000000001</v>
      </c>
      <c r="P32" s="293">
        <f>AVERAGE(C32,D32,E32,F32,I32,J32)</f>
        <v>41.6</v>
      </c>
      <c r="Q32" s="147">
        <f>AVERAGE(L32,I32,H32,E32,D32,C32)</f>
        <v>43.9</v>
      </c>
      <c r="R32" s="61">
        <v>5.7</v>
      </c>
      <c r="S32" s="38">
        <v>41.6</v>
      </c>
      <c r="T32" s="38">
        <v>5.4</v>
      </c>
      <c r="U32" s="38">
        <v>41.4</v>
      </c>
      <c r="V32" s="61">
        <f>AVERAGE(R32:T32)</f>
        <v>17.566666666666666</v>
      </c>
      <c r="W32" s="97">
        <v>78</v>
      </c>
      <c r="X32" s="95">
        <v>75.400000000000006</v>
      </c>
      <c r="Y32" s="316">
        <f>AVERAGE(W32,X32)</f>
        <v>76.7</v>
      </c>
      <c r="Z32" s="317">
        <f>AVERAGE(V32,Q32,Y32)</f>
        <v>46.055555555555564</v>
      </c>
      <c r="AA32" s="318">
        <f>AVERAGE(C32,D32,E32,F32,I32,L32,R32,T32,W32,X32)</f>
        <v>42.56</v>
      </c>
    </row>
    <row r="33" spans="1:27" ht="15.75" customHeight="1" thickBot="1" x14ac:dyDescent="0.25">
      <c r="A33" s="333" t="s">
        <v>468</v>
      </c>
      <c r="B33" s="334" t="s">
        <v>358</v>
      </c>
      <c r="C33" s="335">
        <v>18.100000000000001</v>
      </c>
      <c r="D33" s="336">
        <v>25.2</v>
      </c>
      <c r="E33" s="336">
        <v>38.5</v>
      </c>
      <c r="F33" s="337">
        <v>6.9</v>
      </c>
      <c r="G33" s="338">
        <v>7</v>
      </c>
      <c r="H33" s="339">
        <v>7</v>
      </c>
      <c r="I33" s="340">
        <v>84.6</v>
      </c>
      <c r="J33" s="341">
        <v>6</v>
      </c>
      <c r="K33" s="342">
        <v>39</v>
      </c>
      <c r="L33" s="343">
        <v>22.5</v>
      </c>
      <c r="M33" s="341">
        <v>0.8</v>
      </c>
      <c r="N33" s="341">
        <v>24.8</v>
      </c>
      <c r="O33" s="341">
        <v>12.8</v>
      </c>
      <c r="P33" s="336">
        <f>AVERAGE(C33,D33,E33,F33,I33,J33)</f>
        <v>29.883333333333336</v>
      </c>
      <c r="Q33" s="344">
        <f>AVERAGE(L33,I33,H33,E33,D33,C33)</f>
        <v>32.65</v>
      </c>
      <c r="R33" s="347">
        <v>37.5</v>
      </c>
      <c r="S33" s="348">
        <v>65.400000000000006</v>
      </c>
      <c r="T33" s="348">
        <v>61.2</v>
      </c>
      <c r="U33" s="348">
        <v>76.599999999999994</v>
      </c>
      <c r="V33" s="349">
        <f>AVERAGE(R33:T33)</f>
        <v>54.70000000000001</v>
      </c>
      <c r="W33" s="345">
        <v>20.2</v>
      </c>
      <c r="X33" s="341">
        <v>19.7</v>
      </c>
      <c r="Y33" s="341">
        <f>AVERAGE(W33,X33)</f>
        <v>19.95</v>
      </c>
      <c r="Z33" s="242">
        <f>AVERAGE(V33,Q33,Y33)</f>
        <v>35.766666666666673</v>
      </c>
      <c r="AA33" s="346">
        <f>AVERAGE(C33,D33,E33,F33,I33,L33,R33,T33,W33,X33)</f>
        <v>33.44</v>
      </c>
    </row>
  </sheetData>
  <mergeCells count="25">
    <mergeCell ref="T3:U3"/>
    <mergeCell ref="V3:V4"/>
    <mergeCell ref="Q2:Q4"/>
    <mergeCell ref="R2:V2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A2:A4"/>
    <mergeCell ref="B2:B4"/>
    <mergeCell ref="F2:H2"/>
    <mergeCell ref="J2:O2"/>
    <mergeCell ref="P2:P4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R22" sqref="R22:Y22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6" t="s">
        <v>384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8"/>
      <c r="R1" s="426" t="s">
        <v>378</v>
      </c>
      <c r="S1" s="427"/>
      <c r="T1" s="427"/>
      <c r="U1" s="427"/>
      <c r="V1" s="427"/>
      <c r="W1" s="426" t="s">
        <v>399</v>
      </c>
      <c r="X1" s="429"/>
      <c r="Y1" s="430"/>
      <c r="Z1" s="431" t="s">
        <v>385</v>
      </c>
      <c r="AA1" s="431" t="s">
        <v>393</v>
      </c>
    </row>
    <row r="2" spans="1:27" ht="15" thickBot="1" x14ac:dyDescent="0.25">
      <c r="A2" s="434" t="s">
        <v>0</v>
      </c>
      <c r="B2" s="437" t="s">
        <v>1</v>
      </c>
      <c r="C2" s="103" t="s">
        <v>2</v>
      </c>
      <c r="D2" s="103" t="s">
        <v>3</v>
      </c>
      <c r="E2" s="103" t="s">
        <v>4</v>
      </c>
      <c r="F2" s="440" t="s">
        <v>5</v>
      </c>
      <c r="G2" s="441"/>
      <c r="H2" s="442"/>
      <c r="I2" s="104" t="s">
        <v>367</v>
      </c>
      <c r="J2" s="394" t="s">
        <v>420</v>
      </c>
      <c r="K2" s="395"/>
      <c r="L2" s="395"/>
      <c r="M2" s="396"/>
      <c r="N2" s="396"/>
      <c r="O2" s="397"/>
      <c r="P2" s="443" t="s">
        <v>409</v>
      </c>
      <c r="Q2" s="409" t="s">
        <v>408</v>
      </c>
      <c r="R2" s="412" t="s">
        <v>381</v>
      </c>
      <c r="S2" s="413"/>
      <c r="T2" s="413"/>
      <c r="U2" s="413"/>
      <c r="V2" s="414"/>
      <c r="W2" s="446" t="s">
        <v>400</v>
      </c>
      <c r="X2" s="446" t="s">
        <v>401</v>
      </c>
      <c r="Y2" s="446" t="s">
        <v>402</v>
      </c>
      <c r="Z2" s="432"/>
      <c r="AA2" s="432"/>
    </row>
    <row r="3" spans="1:27" ht="14" customHeight="1" thickBot="1" x14ac:dyDescent="0.2">
      <c r="A3" s="435"/>
      <c r="B3" s="438"/>
      <c r="C3" s="418" t="s">
        <v>9</v>
      </c>
      <c r="D3" s="420" t="s">
        <v>10</v>
      </c>
      <c r="E3" s="420" t="s">
        <v>11</v>
      </c>
      <c r="F3" s="421" t="s">
        <v>12</v>
      </c>
      <c r="G3" s="422"/>
      <c r="H3" s="423"/>
      <c r="I3" s="424" t="s">
        <v>13</v>
      </c>
      <c r="J3" s="401" t="s">
        <v>421</v>
      </c>
      <c r="K3" s="402"/>
      <c r="L3" s="402"/>
      <c r="M3" s="401" t="s">
        <v>422</v>
      </c>
      <c r="N3" s="402"/>
      <c r="O3" s="403"/>
      <c r="P3" s="444"/>
      <c r="Q3" s="410"/>
      <c r="R3" s="404" t="s">
        <v>380</v>
      </c>
      <c r="S3" s="403"/>
      <c r="T3" s="404" t="s">
        <v>379</v>
      </c>
      <c r="U3" s="403"/>
      <c r="V3" s="405" t="s">
        <v>382</v>
      </c>
      <c r="W3" s="447"/>
      <c r="X3" s="447"/>
      <c r="Y3" s="447"/>
      <c r="Z3" s="432"/>
      <c r="AA3" s="432"/>
    </row>
    <row r="4" spans="1:27" ht="14" thickBot="1" x14ac:dyDescent="0.2">
      <c r="A4" s="436"/>
      <c r="B4" s="439"/>
      <c r="C4" s="419"/>
      <c r="D4" s="419"/>
      <c r="E4" s="419"/>
      <c r="F4" s="86" t="s">
        <v>368</v>
      </c>
      <c r="G4" s="88" t="s">
        <v>369</v>
      </c>
      <c r="H4" s="88" t="s">
        <v>370</v>
      </c>
      <c r="I4" s="42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5"/>
      <c r="Q4" s="411"/>
      <c r="R4" s="78" t="s">
        <v>387</v>
      </c>
      <c r="S4" s="79" t="s">
        <v>388</v>
      </c>
      <c r="T4" s="76" t="s">
        <v>387</v>
      </c>
      <c r="U4" s="77" t="s">
        <v>388</v>
      </c>
      <c r="V4" s="406"/>
      <c r="W4" s="448"/>
      <c r="X4" s="448"/>
      <c r="Y4" s="448"/>
      <c r="Z4" s="433"/>
      <c r="AA4" s="4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254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275">
        <v>47.6</v>
      </c>
      <c r="T10" s="272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08">
        <f t="shared" si="3"/>
        <v>64.96630555555555</v>
      </c>
      <c r="AA17" s="309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275">
        <v>47.4</v>
      </c>
      <c r="T18" s="272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08">
        <f t="shared" si="3"/>
        <v>61.705555555555556</v>
      </c>
      <c r="AA18" s="309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275">
        <v>44.7</v>
      </c>
      <c r="T19" s="272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08">
        <f t="shared" ref="Z19" si="16">AVERAGE(V19,Q19,Y19)</f>
        <v>60.800000000000011</v>
      </c>
      <c r="AA19" s="309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275">
        <v>43.4</v>
      </c>
      <c r="T20" s="272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08">
        <f t="shared" si="3"/>
        <v>59.977777777777781</v>
      </c>
      <c r="AA20" s="309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275">
        <v>41.9</v>
      </c>
      <c r="T21" s="272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08">
        <f t="shared" si="3"/>
        <v>60.022222222222219</v>
      </c>
      <c r="AA21" s="309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08">
        <f>AVERAGE(V22,Q22,Y22)</f>
        <v>59.966666666666661</v>
      </c>
      <c r="AA22" s="309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08">
        <f t="shared" si="3"/>
        <v>58.916666666666664</v>
      </c>
      <c r="AA23" s="309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275">
        <v>45.4</v>
      </c>
      <c r="T24" s="272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08">
        <f t="shared" si="3"/>
        <v>60.383333333333333</v>
      </c>
      <c r="AA24" s="309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08">
        <f t="shared" si="3"/>
        <v>58.683333333333337</v>
      </c>
      <c r="AA25" s="309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272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08">
        <f t="shared" si="3"/>
        <v>58.883333333333326</v>
      </c>
      <c r="AA26" s="309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92">
        <v>57.9</v>
      </c>
      <c r="I27" s="167">
        <v>83.2</v>
      </c>
      <c r="J27" s="111">
        <v>9</v>
      </c>
      <c r="K27" s="38">
        <v>90</v>
      </c>
      <c r="L27" s="289">
        <v>49.5</v>
      </c>
      <c r="M27" s="61">
        <v>4.5</v>
      </c>
      <c r="N27" s="272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08">
        <f t="shared" si="3"/>
        <v>58.18888888888889</v>
      </c>
      <c r="AA27" s="309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246">
        <v>73.8</v>
      </c>
      <c r="D28" s="130">
        <v>55.8</v>
      </c>
      <c r="E28" s="246">
        <v>62.6</v>
      </c>
      <c r="F28" s="247">
        <v>59.8</v>
      </c>
      <c r="G28" s="248">
        <v>61.9</v>
      </c>
      <c r="H28" s="99">
        <v>61</v>
      </c>
      <c r="I28" s="325">
        <v>83.3</v>
      </c>
      <c r="J28" s="148">
        <v>7</v>
      </c>
      <c r="K28" s="38">
        <v>70</v>
      </c>
      <c r="L28" s="290">
        <v>38.5</v>
      </c>
      <c r="M28" s="92">
        <v>1.5</v>
      </c>
      <c r="N28" s="273">
        <v>20.3</v>
      </c>
      <c r="O28" s="92">
        <v>10.9</v>
      </c>
      <c r="P28" s="120">
        <f t="shared" si="21"/>
        <v>57.050000000000004</v>
      </c>
      <c r="Q28" s="122">
        <f t="shared" ref="Q28:Q33" si="23">AVERAGE(L28,I28,H28,E28,D28,C28)</f>
        <v>62.5</v>
      </c>
      <c r="R28" s="278">
        <v>4.8</v>
      </c>
      <c r="S28" s="38">
        <v>43.1</v>
      </c>
      <c r="T28" s="38">
        <v>28.1</v>
      </c>
      <c r="U28" s="278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08">
        <f t="shared" si="3"/>
        <v>58.527777777777771</v>
      </c>
      <c r="AA28" s="309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246">
        <v>63.4</v>
      </c>
      <c r="D29" s="245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323">
        <v>17</v>
      </c>
      <c r="K29" s="232">
        <v>83</v>
      </c>
      <c r="L29" s="324">
        <v>50</v>
      </c>
      <c r="M29" s="234">
        <v>9.8000000000000007</v>
      </c>
      <c r="N29" s="321">
        <v>39.1</v>
      </c>
      <c r="O29" s="234">
        <v>24.4</v>
      </c>
      <c r="P29" s="225">
        <f t="shared" si="21"/>
        <v>53.85</v>
      </c>
      <c r="Q29" s="122">
        <f t="shared" si="23"/>
        <v>59.533333333333324</v>
      </c>
      <c r="R29" s="320">
        <v>21</v>
      </c>
      <c r="S29" s="38">
        <v>40.4</v>
      </c>
      <c r="T29" s="38">
        <v>29.3</v>
      </c>
      <c r="U29" s="320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08">
        <f t="shared" si="3"/>
        <v>58.372222222222213</v>
      </c>
      <c r="AA29" s="309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278">
        <v>44.6</v>
      </c>
      <c r="G30" s="171">
        <v>46.4</v>
      </c>
      <c r="H30" s="249">
        <v>45.6</v>
      </c>
      <c r="I30" s="281">
        <v>71</v>
      </c>
      <c r="J30" s="92">
        <v>14</v>
      </c>
      <c r="K30" s="35">
        <v>85</v>
      </c>
      <c r="L30" s="92">
        <v>49.5</v>
      </c>
      <c r="M30" s="322">
        <v>7.5</v>
      </c>
      <c r="N30" s="35">
        <v>21.8</v>
      </c>
      <c r="O30" s="92">
        <v>14.7</v>
      </c>
      <c r="P30" s="120">
        <f>AVERAGE(C30,D30,E30,F30,I30,J30)</f>
        <v>53.816666666666663</v>
      </c>
      <c r="Q30" s="139">
        <f t="shared" si="23"/>
        <v>59.9</v>
      </c>
      <c r="R30" s="278">
        <v>20.5</v>
      </c>
      <c r="S30" s="38">
        <v>40.700000000000003</v>
      </c>
      <c r="T30" s="38">
        <v>29.7</v>
      </c>
      <c r="U30" s="278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08">
        <f>AVERAGE(V30,Q30,Y30)</f>
        <v>58.066666666666663</v>
      </c>
      <c r="AA30" s="309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289">
        <v>50.5</v>
      </c>
      <c r="M31" s="266">
        <v>17.3</v>
      </c>
      <c r="N31" s="38">
        <v>55.6</v>
      </c>
      <c r="O31" s="92">
        <v>36.5</v>
      </c>
      <c r="P31" s="120">
        <f t="shared" si="21"/>
        <v>55.300000000000004</v>
      </c>
      <c r="Q31" s="122">
        <f t="shared" si="23"/>
        <v>62.116666666666667</v>
      </c>
      <c r="R31" s="267">
        <v>6.1</v>
      </c>
      <c r="S31" s="38">
        <v>43</v>
      </c>
      <c r="T31" s="38">
        <v>24.8</v>
      </c>
      <c r="U31" s="278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08">
        <f>AVERAGE(V31,Q31,Y31)</f>
        <v>57.933333333333337</v>
      </c>
      <c r="AA31" s="309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 t="shared" si="23"/>
        <v>62.300000000000004</v>
      </c>
      <c r="R32" s="34">
        <v>5.3</v>
      </c>
      <c r="S32" s="38">
        <v>42.2</v>
      </c>
      <c r="T32" s="38">
        <v>21.9</v>
      </c>
      <c r="U32" s="275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08">
        <f t="shared" si="3"/>
        <v>57.744444444444447</v>
      </c>
      <c r="AA32" s="309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 t="shared" si="23"/>
        <v>61.333333333333336</v>
      </c>
      <c r="R33" s="34">
        <v>6.6</v>
      </c>
      <c r="S33" s="38">
        <v>42.8</v>
      </c>
      <c r="T33" s="38">
        <v>24.9</v>
      </c>
      <c r="U33" s="275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08">
        <f t="shared" ref="Z33" si="24">AVERAGE(V33,Q33,Y33)</f>
        <v>57.866666666666667</v>
      </c>
      <c r="AA33" s="309">
        <f t="shared" ref="AA33" si="25">AVERAGE(C33,D33,E33,F33,I33,L33,R33,T33,W33,X33)</f>
        <v>57.260000000000005</v>
      </c>
    </row>
    <row r="34" spans="1:27" ht="14" x14ac:dyDescent="0.2">
      <c r="A34" s="280" t="s">
        <v>465</v>
      </c>
      <c r="B34" s="167"/>
      <c r="C34" s="133"/>
      <c r="D34" s="134"/>
      <c r="E34" s="134"/>
      <c r="F34" s="278"/>
      <c r="G34" s="171"/>
      <c r="H34" s="92"/>
      <c r="I34" s="281"/>
      <c r="J34" s="92"/>
      <c r="K34" s="35"/>
      <c r="L34" s="291"/>
      <c r="M34" s="92"/>
      <c r="N34" s="35"/>
      <c r="O34" s="92"/>
      <c r="P34" s="120"/>
      <c r="Q34" s="139"/>
      <c r="R34" s="92"/>
      <c r="S34" s="38"/>
      <c r="T34" s="38"/>
      <c r="U34" s="61"/>
      <c r="V34" s="92"/>
      <c r="W34" s="112"/>
      <c r="X34" s="113"/>
      <c r="Y34" s="114"/>
      <c r="Z34" s="308"/>
      <c r="AA34" s="309"/>
    </row>
    <row r="35" spans="1:27" ht="14" x14ac:dyDescent="0.2">
      <c r="A35" s="280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278">
        <v>27.5</v>
      </c>
      <c r="G35" s="276">
        <v>28.78</v>
      </c>
      <c r="H35" s="171">
        <v>28.3</v>
      </c>
      <c r="I35" s="281">
        <v>65.099999999999994</v>
      </c>
      <c r="J35" s="92">
        <v>26</v>
      </c>
      <c r="K35" s="35">
        <v>89</v>
      </c>
      <c r="L35" s="291">
        <v>57.5</v>
      </c>
      <c r="M35" s="92"/>
      <c r="N35" s="35"/>
      <c r="O35" s="92"/>
      <c r="P35" s="120">
        <f t="shared" ref="P35" si="26">AVERAGE(C35,D35,E35,F35,I35,J35)</f>
        <v>49.683333333333337</v>
      </c>
      <c r="Q35" s="139">
        <f t="shared" ref="Q35" si="27">AVERAGE(L35,I35,H35,E35,D35,C35)</f>
        <v>55.066666666666663</v>
      </c>
      <c r="R35" s="92">
        <v>16.899999999999999</v>
      </c>
      <c r="S35" s="38">
        <v>48.3</v>
      </c>
      <c r="T35" s="38">
        <v>38.299999999999997</v>
      </c>
      <c r="U35" s="34">
        <v>61.6</v>
      </c>
      <c r="V35" s="92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08">
        <f>AVERAGE(V35,Q35,Y35)</f>
        <v>57.738888888888887</v>
      </c>
      <c r="AA35" s="309">
        <f>AVERAGE(C35,D35,E35,F35,I35,L35,R35,T35,W35,X35)</f>
        <v>55.21</v>
      </c>
    </row>
    <row r="36" spans="1:27" ht="14" x14ac:dyDescent="0.2">
      <c r="A36" s="280" t="s">
        <v>411</v>
      </c>
      <c r="B36" s="165" t="s">
        <v>21</v>
      </c>
      <c r="C36" s="284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92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08">
        <f t="shared" si="3"/>
        <v>56.55555555555555</v>
      </c>
      <c r="AA36" s="309">
        <f>AVERAGE(C36,D36,E36,F36,I36,L36,R36,T36,W36,X36)</f>
        <v>54.1</v>
      </c>
    </row>
    <row r="37" spans="1:27" ht="14" x14ac:dyDescent="0.2">
      <c r="A37" s="280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285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326">
        <f>AVERAGE(R37:T37)</f>
        <v>19.733333333333331</v>
      </c>
      <c r="W37" s="285">
        <v>72.5</v>
      </c>
      <c r="X37" s="268">
        <v>70.8</v>
      </c>
      <c r="Y37" s="145">
        <f>AVERAGE(W37,X37)</f>
        <v>71.650000000000006</v>
      </c>
      <c r="Z37" s="308">
        <f>AVERAGE(V37,Q37,Y37)</f>
        <v>50.45000000000001</v>
      </c>
      <c r="AA37" s="309">
        <f>AVERAGE(C37,D37,E37,F37,I37,L37,R37,T37,W37,X37)</f>
        <v>51.919999999999995</v>
      </c>
    </row>
    <row r="38" spans="1:27" ht="14" x14ac:dyDescent="0.2">
      <c r="A38" s="283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12">
        <f>AVERAGE(C38,D38,E38,F38,I38,J38)</f>
        <v>38.800000000000004</v>
      </c>
      <c r="Q38" s="312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08">
        <f t="shared" si="3"/>
        <v>58.972222222222229</v>
      </c>
      <c r="AA38" s="309">
        <f t="shared" si="4"/>
        <v>51.910000000000004</v>
      </c>
    </row>
    <row r="39" spans="1:27" ht="14" x14ac:dyDescent="0.2">
      <c r="A39" s="280" t="s">
        <v>461</v>
      </c>
      <c r="B39" s="270" t="s">
        <v>21</v>
      </c>
      <c r="C39" s="133">
        <v>64.900000000000006</v>
      </c>
      <c r="D39" s="134">
        <v>62.2</v>
      </c>
      <c r="E39" s="134">
        <v>65.599999999999994</v>
      </c>
      <c r="F39" s="278">
        <v>60</v>
      </c>
      <c r="G39" s="35">
        <v>62.2</v>
      </c>
      <c r="H39" s="92">
        <v>61.3</v>
      </c>
      <c r="I39" s="281">
        <v>82.1</v>
      </c>
      <c r="J39" s="278">
        <v>4</v>
      </c>
      <c r="K39" s="276">
        <v>21</v>
      </c>
      <c r="L39" s="282">
        <v>12.5</v>
      </c>
      <c r="M39" s="92">
        <v>6.8</v>
      </c>
      <c r="N39" s="35">
        <v>29.3</v>
      </c>
      <c r="O39" s="92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92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08">
        <f>AVERAGE(V39,Q39,Y39)</f>
        <v>50.4</v>
      </c>
      <c r="AA39" s="309">
        <f>AVERAGE(C39,D39,E39,F39,I39,L39,R39,T39,W39,X39)</f>
        <v>51.010000000000005</v>
      </c>
    </row>
    <row r="40" spans="1:27" ht="14" x14ac:dyDescent="0.2">
      <c r="A40" s="280" t="s">
        <v>462</v>
      </c>
      <c r="B40" s="281" t="s">
        <v>21</v>
      </c>
      <c r="C40" s="313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14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315">
        <v>75.5</v>
      </c>
      <c r="X40" s="206">
        <v>73.5</v>
      </c>
      <c r="Y40" s="316">
        <f>AVERAGE(W40,X40)</f>
        <v>74.5</v>
      </c>
      <c r="Z40" s="317">
        <f>AVERAGE(V40,Q40,Y40)</f>
        <v>49.588888888888881</v>
      </c>
      <c r="AA40" s="318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245">
        <v>36.799999999999997</v>
      </c>
      <c r="D41" s="245">
        <v>16</v>
      </c>
      <c r="E41" s="245">
        <v>57.1</v>
      </c>
      <c r="F41" s="231">
        <v>6.2</v>
      </c>
      <c r="G41" s="268">
        <v>6.2</v>
      </c>
      <c r="H41" s="269">
        <v>6.2</v>
      </c>
      <c r="I41" s="270">
        <v>71.8</v>
      </c>
      <c r="J41" s="231">
        <v>16</v>
      </c>
      <c r="K41" s="232">
        <v>88</v>
      </c>
      <c r="L41" s="233">
        <v>52</v>
      </c>
      <c r="M41" s="148"/>
      <c r="N41" s="274"/>
      <c r="O41" s="145"/>
      <c r="P41" s="127">
        <f t="shared" ref="P41" si="28">AVERAGE(C41,D41,E41,F41,I41,J41)</f>
        <v>33.983333333333334</v>
      </c>
      <c r="Q41" s="202">
        <f t="shared" ref="Q41" si="29">AVERAGE(L41,I41,H41,E41,D41,C41)</f>
        <v>39.983333333333327</v>
      </c>
      <c r="R41" s="37">
        <v>23.3</v>
      </c>
      <c r="S41" s="38">
        <v>53</v>
      </c>
      <c r="T41" s="38">
        <v>47.2</v>
      </c>
      <c r="U41" s="277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08">
        <f t="shared" si="3"/>
        <v>56.533333333333331</v>
      </c>
      <c r="AA41" s="309">
        <f t="shared" si="4"/>
        <v>48.73</v>
      </c>
    </row>
    <row r="42" spans="1:27" ht="15.75" customHeight="1" x14ac:dyDescent="0.2">
      <c r="A42" s="280" t="s">
        <v>463</v>
      </c>
      <c r="B42" s="288" t="s">
        <v>21</v>
      </c>
      <c r="C42" s="297">
        <v>64.400000000000006</v>
      </c>
      <c r="D42" s="298">
        <v>49.8</v>
      </c>
      <c r="E42" s="298">
        <v>65.099999999999994</v>
      </c>
      <c r="F42" s="299">
        <v>34.4</v>
      </c>
      <c r="G42" s="300">
        <v>35.799999999999997</v>
      </c>
      <c r="H42" s="301">
        <v>35.200000000000003</v>
      </c>
      <c r="I42" s="296">
        <v>71</v>
      </c>
      <c r="J42" s="302">
        <v>2</v>
      </c>
      <c r="K42" s="303">
        <v>26</v>
      </c>
      <c r="L42" s="302">
        <v>14</v>
      </c>
      <c r="M42" s="286">
        <v>5.3</v>
      </c>
      <c r="N42" s="303">
        <v>54.1</v>
      </c>
      <c r="O42" s="302">
        <v>29.7</v>
      </c>
      <c r="P42" s="298">
        <f>AVERAGE(C42,D42,E42,F42,I42,J42)</f>
        <v>47.783333333333339</v>
      </c>
      <c r="Q42" s="304">
        <f>AVERAGE(L42,I42,H42,E42,D42,C42)</f>
        <v>49.916666666666664</v>
      </c>
      <c r="R42" s="305">
        <v>14.6</v>
      </c>
      <c r="S42" s="327">
        <v>40.700000000000003</v>
      </c>
      <c r="T42" s="327">
        <v>13.8</v>
      </c>
      <c r="U42" s="306">
        <v>45.3</v>
      </c>
      <c r="V42" s="307">
        <f>AVERAGE(R42:T42)</f>
        <v>23.033333333333335</v>
      </c>
      <c r="W42" s="286">
        <v>68.900000000000006</v>
      </c>
      <c r="X42" s="328">
        <v>66</v>
      </c>
      <c r="Y42" s="302">
        <f>AVERAGE(W42,X42)</f>
        <v>67.45</v>
      </c>
      <c r="Z42" s="287">
        <f>AVERAGE(V42,Q42,Y42)</f>
        <v>46.800000000000004</v>
      </c>
      <c r="AA42" s="287">
        <f>AVERAGE(C42,D42,E42,F42,I42,L42,R42,T42,W42,X42)</f>
        <v>46.20000000000001</v>
      </c>
    </row>
    <row r="43" spans="1:27" ht="15.75" customHeight="1" x14ac:dyDescent="0.2">
      <c r="A43" s="280" t="s">
        <v>466</v>
      </c>
      <c r="B43" s="288" t="s">
        <v>358</v>
      </c>
      <c r="C43" s="297"/>
      <c r="D43" s="298"/>
      <c r="E43" s="298"/>
      <c r="F43" s="299"/>
      <c r="G43" s="300"/>
      <c r="H43" s="330"/>
      <c r="I43" s="296"/>
      <c r="J43" s="302"/>
      <c r="K43" s="303"/>
      <c r="L43" s="302"/>
      <c r="M43" s="302"/>
      <c r="N43" s="302"/>
      <c r="O43" s="302"/>
      <c r="P43" s="298"/>
      <c r="Q43" s="304"/>
      <c r="R43" s="305"/>
      <c r="S43" s="305"/>
      <c r="T43" s="305"/>
      <c r="U43" s="305"/>
      <c r="V43" s="294"/>
      <c r="W43" s="286"/>
      <c r="X43" s="302"/>
      <c r="Y43" s="302"/>
      <c r="Z43" s="287"/>
      <c r="AA43" s="331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30">AVERAGE(C44,D44,E44,F44,I44,J44)</f>
        <v>35.533333333333331</v>
      </c>
      <c r="Q44" s="198">
        <f t="shared" ref="Q44" si="31">AVERAGE(L44,I44,H44,E44,D44,C44)</f>
        <v>39.383333333333333</v>
      </c>
      <c r="R44" s="279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2">AVERAGE(W44,X44)</f>
        <v>84.45</v>
      </c>
      <c r="Z44" s="329">
        <f t="shared" si="3"/>
        <v>51.622222222222227</v>
      </c>
      <c r="AA44" s="329">
        <f t="shared" si="4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6" t="s">
        <v>384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8"/>
      <c r="R1" s="426" t="s">
        <v>378</v>
      </c>
      <c r="S1" s="427"/>
      <c r="T1" s="427"/>
      <c r="U1" s="427"/>
      <c r="V1" s="427"/>
      <c r="W1" s="426" t="s">
        <v>399</v>
      </c>
      <c r="X1" s="429"/>
      <c r="Y1" s="430"/>
      <c r="Z1" s="431" t="s">
        <v>385</v>
      </c>
      <c r="AA1" s="431" t="s">
        <v>393</v>
      </c>
    </row>
    <row r="2" spans="1:27" ht="15" thickBot="1" x14ac:dyDescent="0.25">
      <c r="A2" s="434" t="s">
        <v>0</v>
      </c>
      <c r="B2" s="437" t="s">
        <v>1</v>
      </c>
      <c r="C2" s="103" t="s">
        <v>2</v>
      </c>
      <c r="D2" s="103" t="s">
        <v>3</v>
      </c>
      <c r="E2" s="103" t="s">
        <v>4</v>
      </c>
      <c r="F2" s="440" t="s">
        <v>5</v>
      </c>
      <c r="G2" s="441"/>
      <c r="H2" s="442"/>
      <c r="I2" s="104" t="s">
        <v>367</v>
      </c>
      <c r="J2" s="394" t="s">
        <v>420</v>
      </c>
      <c r="K2" s="395"/>
      <c r="L2" s="395"/>
      <c r="M2" s="396"/>
      <c r="N2" s="396"/>
      <c r="O2" s="397"/>
      <c r="P2" s="443" t="s">
        <v>409</v>
      </c>
      <c r="Q2" s="409" t="s">
        <v>408</v>
      </c>
      <c r="R2" s="412" t="s">
        <v>381</v>
      </c>
      <c r="S2" s="413"/>
      <c r="T2" s="413"/>
      <c r="U2" s="413"/>
      <c r="V2" s="414"/>
      <c r="W2" s="446" t="s">
        <v>400</v>
      </c>
      <c r="X2" s="446" t="s">
        <v>401</v>
      </c>
      <c r="Y2" s="446" t="s">
        <v>402</v>
      </c>
      <c r="Z2" s="432"/>
      <c r="AA2" s="432"/>
    </row>
    <row r="3" spans="1:27" ht="14" customHeight="1" thickBot="1" x14ac:dyDescent="0.2">
      <c r="A3" s="435"/>
      <c r="B3" s="438"/>
      <c r="C3" s="418" t="s">
        <v>9</v>
      </c>
      <c r="D3" s="420" t="s">
        <v>10</v>
      </c>
      <c r="E3" s="420" t="s">
        <v>11</v>
      </c>
      <c r="F3" s="421" t="s">
        <v>12</v>
      </c>
      <c r="G3" s="422"/>
      <c r="H3" s="423"/>
      <c r="I3" s="424" t="s">
        <v>13</v>
      </c>
      <c r="J3" s="401" t="s">
        <v>421</v>
      </c>
      <c r="K3" s="402"/>
      <c r="L3" s="402"/>
      <c r="M3" s="401" t="s">
        <v>422</v>
      </c>
      <c r="N3" s="402"/>
      <c r="O3" s="403"/>
      <c r="P3" s="444"/>
      <c r="Q3" s="410"/>
      <c r="R3" s="404" t="s">
        <v>380</v>
      </c>
      <c r="S3" s="403"/>
      <c r="T3" s="404" t="s">
        <v>379</v>
      </c>
      <c r="U3" s="403"/>
      <c r="V3" s="405" t="s">
        <v>382</v>
      </c>
      <c r="W3" s="447"/>
      <c r="X3" s="447"/>
      <c r="Y3" s="447"/>
      <c r="Z3" s="432"/>
      <c r="AA3" s="432"/>
    </row>
    <row r="4" spans="1:27" ht="14" thickBot="1" x14ac:dyDescent="0.2">
      <c r="A4" s="436"/>
      <c r="B4" s="439"/>
      <c r="C4" s="419"/>
      <c r="D4" s="419"/>
      <c r="E4" s="419"/>
      <c r="F4" s="86" t="s">
        <v>368</v>
      </c>
      <c r="G4" s="88" t="s">
        <v>369</v>
      </c>
      <c r="H4" s="88" t="s">
        <v>370</v>
      </c>
      <c r="I4" s="42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5"/>
      <c r="Q4" s="411"/>
      <c r="R4" s="78" t="s">
        <v>387</v>
      </c>
      <c r="S4" s="79" t="s">
        <v>388</v>
      </c>
      <c r="T4" s="76" t="s">
        <v>387</v>
      </c>
      <c r="U4" s="77" t="s">
        <v>388</v>
      </c>
      <c r="V4" s="406"/>
      <c r="W4" s="448"/>
      <c r="X4" s="448"/>
      <c r="Y4" s="448"/>
      <c r="Z4" s="433"/>
      <c r="AA4" s="4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254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 t="shared" ref="Y23:Y29" si="26"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7">AVERAGE(C24,D24,E24,F24,I24,J24)</f>
        <v>55.300000000000004</v>
      </c>
      <c r="Q24" s="122">
        <f t="shared" ref="Q24" si="28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 t="shared" si="26"/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9">AVERAGE(C25,D25,E25,F25,I25,J25)</f>
        <v>58.166666666666664</v>
      </c>
      <c r="Q25" s="122">
        <f t="shared" ref="Q25:Q32" si="30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 t="shared" si="26"/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245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9"/>
        <v>55.883333333333333</v>
      </c>
      <c r="Q26" s="122">
        <f t="shared" si="30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 t="shared" si="26"/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9"/>
        <v>58.483333333333341</v>
      </c>
      <c r="Q27" s="122">
        <f t="shared" si="30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 t="shared" si="26"/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9"/>
        <v>57.016666666666659</v>
      </c>
      <c r="Q28" s="122">
        <f t="shared" si="30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 t="shared" si="26"/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246">
        <v>73.8</v>
      </c>
      <c r="D29" s="130">
        <v>55.8</v>
      </c>
      <c r="E29" s="246">
        <v>62.6</v>
      </c>
      <c r="F29" s="247">
        <v>59.8</v>
      </c>
      <c r="G29" s="248">
        <v>61.9</v>
      </c>
      <c r="H29" s="249">
        <v>61</v>
      </c>
      <c r="I29" s="250">
        <v>83.3</v>
      </c>
      <c r="J29" s="90">
        <v>7</v>
      </c>
      <c r="K29" s="91">
        <v>70</v>
      </c>
      <c r="L29" s="118">
        <v>38.5</v>
      </c>
      <c r="M29" s="92">
        <v>1.5</v>
      </c>
      <c r="N29" s="113">
        <v>20.3</v>
      </c>
      <c r="O29" s="92">
        <v>10.9</v>
      </c>
      <c r="P29" s="134">
        <f>AVERAGE(C29,D29,E29,F29,I29,J29)</f>
        <v>57.050000000000004</v>
      </c>
      <c r="Q29" s="122">
        <f>AVERAGE(L29,I29,H29,E29,D29,C29)</f>
        <v>62.5</v>
      </c>
      <c r="R29" s="92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 t="shared" si="26"/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9"/>
        <v>51.366666666666667</v>
      </c>
      <c r="Q30" s="122">
        <f t="shared" si="30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9"/>
        <v>51.833333333333336</v>
      </c>
      <c r="Q31" s="122">
        <f t="shared" si="30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9"/>
        <v>57.216666666666669</v>
      </c>
      <c r="Q32" s="69">
        <f t="shared" si="30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1">AVERAGE(C33,D33,E33,F33,I33,J33)</f>
        <v>53.6</v>
      </c>
      <c r="Q33" s="122">
        <f t="shared" ref="Q33" si="32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3">AVERAGE(C37,D37,E37,F37,I37,J37)</f>
        <v>45.816666666666663</v>
      </c>
      <c r="Q37" s="139">
        <f t="shared" ref="Q37" si="34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5">AVERAGE(C40,D40,E40,F40,I40,J40)</f>
        <v>51.466666666666669</v>
      </c>
      <c r="Q40" s="122">
        <f t="shared" ref="Q40" si="36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7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8">AVERAGE(C46,D46,E46,F46,I46,J46)</f>
        <v>35.533333333333331</v>
      </c>
      <c r="Q46" s="198">
        <f t="shared" ref="Q46" si="39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40">AVERAGE(R46:T46)</f>
        <v>31.033333333333331</v>
      </c>
      <c r="W46" s="199">
        <v>86.2</v>
      </c>
      <c r="X46" s="200">
        <v>82.7</v>
      </c>
      <c r="Y46" s="201">
        <f t="shared" ref="Y46" si="41">AVERAGE(W46,X46)</f>
        <v>84.45</v>
      </c>
      <c r="Z46" s="253">
        <f t="shared" si="5"/>
        <v>51.622222222222227</v>
      </c>
      <c r="AA46" s="253">
        <f t="shared" si="6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6" t="s">
        <v>384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8"/>
      <c r="R1" s="426" t="s">
        <v>378</v>
      </c>
      <c r="S1" s="427"/>
      <c r="T1" s="427"/>
      <c r="U1" s="427"/>
      <c r="V1" s="427"/>
      <c r="W1" s="426" t="s">
        <v>399</v>
      </c>
      <c r="X1" s="429"/>
      <c r="Y1" s="430"/>
      <c r="Z1" s="431" t="s">
        <v>385</v>
      </c>
      <c r="AA1" s="431" t="s">
        <v>393</v>
      </c>
    </row>
    <row r="2" spans="1:27" ht="15" thickBot="1" x14ac:dyDescent="0.25">
      <c r="A2" s="434" t="s">
        <v>0</v>
      </c>
      <c r="B2" s="437" t="s">
        <v>1</v>
      </c>
      <c r="C2" s="103" t="s">
        <v>2</v>
      </c>
      <c r="D2" s="103" t="s">
        <v>3</v>
      </c>
      <c r="E2" s="103" t="s">
        <v>4</v>
      </c>
      <c r="F2" s="440" t="s">
        <v>5</v>
      </c>
      <c r="G2" s="441"/>
      <c r="H2" s="442"/>
      <c r="I2" s="104" t="s">
        <v>367</v>
      </c>
      <c r="J2" s="394" t="s">
        <v>420</v>
      </c>
      <c r="K2" s="395"/>
      <c r="L2" s="395"/>
      <c r="M2" s="396"/>
      <c r="N2" s="396"/>
      <c r="O2" s="397"/>
      <c r="P2" s="443" t="s">
        <v>409</v>
      </c>
      <c r="Q2" s="409" t="s">
        <v>408</v>
      </c>
      <c r="R2" s="412" t="s">
        <v>381</v>
      </c>
      <c r="S2" s="413"/>
      <c r="T2" s="413"/>
      <c r="U2" s="413"/>
      <c r="V2" s="414"/>
      <c r="W2" s="446" t="s">
        <v>400</v>
      </c>
      <c r="X2" s="446" t="s">
        <v>401</v>
      </c>
      <c r="Y2" s="446" t="s">
        <v>402</v>
      </c>
      <c r="Z2" s="432"/>
      <c r="AA2" s="432"/>
    </row>
    <row r="3" spans="1:27" ht="14" customHeight="1" thickBot="1" x14ac:dyDescent="0.2">
      <c r="A3" s="435"/>
      <c r="B3" s="438"/>
      <c r="C3" s="418" t="s">
        <v>9</v>
      </c>
      <c r="D3" s="420" t="s">
        <v>10</v>
      </c>
      <c r="E3" s="420" t="s">
        <v>11</v>
      </c>
      <c r="F3" s="421" t="s">
        <v>12</v>
      </c>
      <c r="G3" s="422"/>
      <c r="H3" s="423"/>
      <c r="I3" s="424" t="s">
        <v>13</v>
      </c>
      <c r="J3" s="401" t="s">
        <v>421</v>
      </c>
      <c r="K3" s="402"/>
      <c r="L3" s="402"/>
      <c r="M3" s="401" t="s">
        <v>422</v>
      </c>
      <c r="N3" s="402"/>
      <c r="O3" s="403"/>
      <c r="P3" s="444"/>
      <c r="Q3" s="410"/>
      <c r="R3" s="404" t="s">
        <v>380</v>
      </c>
      <c r="S3" s="403"/>
      <c r="T3" s="404" t="s">
        <v>379</v>
      </c>
      <c r="U3" s="403"/>
      <c r="V3" s="405" t="s">
        <v>382</v>
      </c>
      <c r="W3" s="447"/>
      <c r="X3" s="447"/>
      <c r="Y3" s="447"/>
      <c r="Z3" s="432"/>
      <c r="AA3" s="432"/>
    </row>
    <row r="4" spans="1:27" ht="14" thickBot="1" x14ac:dyDescent="0.2">
      <c r="A4" s="436"/>
      <c r="B4" s="439"/>
      <c r="C4" s="419"/>
      <c r="D4" s="419"/>
      <c r="E4" s="419"/>
      <c r="F4" s="86" t="s">
        <v>368</v>
      </c>
      <c r="G4" s="88" t="s">
        <v>369</v>
      </c>
      <c r="H4" s="88" t="s">
        <v>370</v>
      </c>
      <c r="I4" s="42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5"/>
      <c r="Q4" s="411"/>
      <c r="R4" s="78" t="s">
        <v>387</v>
      </c>
      <c r="S4" s="79" t="s">
        <v>388</v>
      </c>
      <c r="T4" s="76" t="s">
        <v>387</v>
      </c>
      <c r="U4" s="77" t="s">
        <v>388</v>
      </c>
      <c r="V4" s="406"/>
      <c r="W4" s="447"/>
      <c r="X4" s="447"/>
      <c r="Y4" s="447"/>
      <c r="Z4" s="432"/>
      <c r="AA4" s="432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W2:W4"/>
    <mergeCell ref="X2:X4"/>
    <mergeCell ref="R3:S3"/>
    <mergeCell ref="T3:U3"/>
    <mergeCell ref="B1:Q1"/>
    <mergeCell ref="R1:V1"/>
    <mergeCell ref="J2:O2"/>
    <mergeCell ref="M3:O3"/>
    <mergeCell ref="V3:V4"/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476" t="s">
        <v>384</v>
      </c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8"/>
      <c r="Q1" s="476" t="s">
        <v>378</v>
      </c>
      <c r="R1" s="477"/>
      <c r="S1" s="477"/>
      <c r="T1" s="477"/>
      <c r="U1" s="477"/>
      <c r="V1" s="431" t="s">
        <v>385</v>
      </c>
      <c r="W1" s="431" t="s">
        <v>393</v>
      </c>
    </row>
    <row r="2" spans="1:23" ht="15" thickBot="1" x14ac:dyDescent="0.25">
      <c r="A2" s="449" t="s">
        <v>350</v>
      </c>
      <c r="B2" s="434" t="s">
        <v>0</v>
      </c>
      <c r="C2" s="461" t="s">
        <v>1</v>
      </c>
      <c r="D2" s="464" t="s">
        <v>347</v>
      </c>
      <c r="E2" s="52" t="s">
        <v>2</v>
      </c>
      <c r="F2" s="75" t="s">
        <v>3</v>
      </c>
      <c r="G2" s="75" t="s">
        <v>4</v>
      </c>
      <c r="H2" s="455" t="s">
        <v>5</v>
      </c>
      <c r="I2" s="456"/>
      <c r="J2" s="457"/>
      <c r="K2" s="74" t="s">
        <v>367</v>
      </c>
      <c r="L2" s="470" t="s">
        <v>7</v>
      </c>
      <c r="M2" s="471"/>
      <c r="N2" s="472"/>
      <c r="O2" s="452" t="s">
        <v>366</v>
      </c>
      <c r="P2" s="398" t="s">
        <v>383</v>
      </c>
      <c r="Q2" s="412" t="s">
        <v>381</v>
      </c>
      <c r="R2" s="413"/>
      <c r="S2" s="413"/>
      <c r="T2" s="413"/>
      <c r="U2" s="414"/>
      <c r="V2" s="432"/>
      <c r="W2" s="432"/>
    </row>
    <row r="3" spans="1:23" ht="14" thickBot="1" x14ac:dyDescent="0.2">
      <c r="A3" s="450"/>
      <c r="B3" s="435"/>
      <c r="C3" s="462"/>
      <c r="D3" s="465"/>
      <c r="E3" s="468" t="s">
        <v>9</v>
      </c>
      <c r="F3" s="467" t="s">
        <v>10</v>
      </c>
      <c r="G3" s="467" t="s">
        <v>11</v>
      </c>
      <c r="H3" s="458" t="s">
        <v>12</v>
      </c>
      <c r="I3" s="459"/>
      <c r="J3" s="460"/>
      <c r="K3" s="459" t="s">
        <v>13</v>
      </c>
      <c r="L3" s="473" t="s">
        <v>14</v>
      </c>
      <c r="M3" s="474"/>
      <c r="N3" s="475"/>
      <c r="O3" s="453"/>
      <c r="P3" s="399"/>
      <c r="Q3" s="404" t="s">
        <v>380</v>
      </c>
      <c r="R3" s="403"/>
      <c r="S3" s="404" t="s">
        <v>379</v>
      </c>
      <c r="T3" s="403"/>
      <c r="U3" s="405" t="s">
        <v>382</v>
      </c>
      <c r="V3" s="432"/>
      <c r="W3" s="432"/>
    </row>
    <row r="4" spans="1:23" ht="14" thickBot="1" x14ac:dyDescent="0.2">
      <c r="A4" s="451"/>
      <c r="B4" s="436"/>
      <c r="C4" s="463"/>
      <c r="D4" s="466"/>
      <c r="E4" s="469"/>
      <c r="F4" s="419"/>
      <c r="G4" s="419"/>
      <c r="H4" s="72" t="s">
        <v>368</v>
      </c>
      <c r="I4" s="71" t="s">
        <v>369</v>
      </c>
      <c r="J4" s="73" t="s">
        <v>370</v>
      </c>
      <c r="K4" s="425"/>
      <c r="L4" s="72" t="s">
        <v>345</v>
      </c>
      <c r="M4" s="71" t="s">
        <v>344</v>
      </c>
      <c r="N4" s="73" t="s">
        <v>346</v>
      </c>
      <c r="O4" s="454"/>
      <c r="P4" s="400"/>
      <c r="Q4" s="78" t="s">
        <v>387</v>
      </c>
      <c r="R4" s="79" t="s">
        <v>388</v>
      </c>
      <c r="S4" s="76" t="s">
        <v>387</v>
      </c>
      <c r="T4" s="77" t="s">
        <v>388</v>
      </c>
      <c r="U4" s="406"/>
      <c r="V4" s="433"/>
      <c r="W4" s="433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P2:P4"/>
    <mergeCell ref="C1:P1"/>
    <mergeCell ref="Q1:U1"/>
    <mergeCell ref="V1:V4"/>
    <mergeCell ref="Q3:R3"/>
    <mergeCell ref="S3:T3"/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479"/>
      <c r="J31" s="480"/>
      <c r="K31" s="480"/>
    </row>
  </sheetData>
  <mergeCells count="1">
    <mergeCell ref="I31:K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481" t="s">
        <v>52</v>
      </c>
      <c r="C1" s="480"/>
      <c r="D1" s="481" t="s">
        <v>53</v>
      </c>
      <c r="E1" s="480"/>
      <c r="F1" s="481" t="s">
        <v>54</v>
      </c>
      <c r="G1" s="480"/>
      <c r="H1" s="481" t="s">
        <v>55</v>
      </c>
      <c r="I1" s="480"/>
      <c r="J1" s="481" t="s">
        <v>56</v>
      </c>
      <c r="K1" s="480"/>
      <c r="L1" s="481" t="s">
        <v>57</v>
      </c>
      <c r="M1" s="480"/>
    </row>
    <row r="2" spans="1:13" ht="15.75" customHeight="1" x14ac:dyDescent="0.15">
      <c r="A2" s="20"/>
      <c r="B2" s="481" t="s">
        <v>58</v>
      </c>
      <c r="C2" s="480"/>
      <c r="D2" s="481" t="s">
        <v>11</v>
      </c>
      <c r="E2" s="480"/>
      <c r="F2" s="481" t="s">
        <v>13</v>
      </c>
      <c r="G2" s="480"/>
      <c r="H2" s="481" t="s">
        <v>59</v>
      </c>
      <c r="I2" s="480"/>
      <c r="J2" s="481" t="s">
        <v>14</v>
      </c>
      <c r="K2" s="480"/>
      <c r="L2" s="480"/>
      <c r="M2" s="480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479" t="s">
        <v>64</v>
      </c>
      <c r="D1" s="480"/>
      <c r="E1" s="480"/>
      <c r="F1" s="480"/>
      <c r="G1" s="480"/>
      <c r="H1" s="480"/>
      <c r="I1" s="480"/>
      <c r="J1" s="480"/>
      <c r="K1" s="480"/>
      <c r="L1" s="480"/>
      <c r="M1" s="482" t="s">
        <v>65</v>
      </c>
      <c r="N1" s="480"/>
      <c r="O1" s="480"/>
      <c r="P1" s="480"/>
      <c r="Q1" s="480"/>
      <c r="R1" s="480"/>
      <c r="S1" s="480"/>
      <c r="T1" s="480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479" t="s">
        <v>111</v>
      </c>
      <c r="B2" s="480"/>
      <c r="C2" s="480"/>
      <c r="D2" s="480"/>
      <c r="E2" s="480"/>
      <c r="F2" s="480"/>
      <c r="G2" s="480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479" t="s">
        <v>131</v>
      </c>
      <c r="B9" s="480"/>
      <c r="C9" s="480"/>
      <c r="D9" s="480"/>
      <c r="E9" s="480"/>
      <c r="F9" s="480"/>
      <c r="G9" s="480"/>
      <c r="H9" s="1"/>
    </row>
    <row r="10" spans="1:9" ht="15.75" customHeight="1" x14ac:dyDescent="0.15">
      <c r="A10" s="479" t="s">
        <v>132</v>
      </c>
      <c r="B10" s="480"/>
      <c r="C10" s="480"/>
      <c r="D10" s="480"/>
      <c r="E10" s="480"/>
      <c r="F10" s="480"/>
      <c r="G10" s="480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479" t="s">
        <v>146</v>
      </c>
      <c r="B17" s="480"/>
      <c r="C17" s="480"/>
      <c r="D17" s="480"/>
      <c r="E17" s="480"/>
      <c r="F17" s="480"/>
      <c r="G17" s="480"/>
      <c r="H17" s="1"/>
    </row>
    <row r="18" spans="1:8" ht="15.75" customHeight="1" x14ac:dyDescent="0.15">
      <c r="A18" s="479" t="s">
        <v>43</v>
      </c>
      <c r="B18" s="480"/>
      <c r="C18" s="480"/>
      <c r="D18" s="480"/>
      <c r="E18" s="480"/>
      <c r="F18" s="480"/>
      <c r="G18" s="480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479" t="s">
        <v>160</v>
      </c>
      <c r="B25" s="480"/>
      <c r="C25" s="480"/>
      <c r="D25" s="480"/>
      <c r="E25" s="480"/>
      <c r="F25" s="480"/>
      <c r="G25" s="480"/>
      <c r="H25" s="1"/>
    </row>
    <row r="26" spans="1:8" ht="15.75" customHeight="1" x14ac:dyDescent="0.15">
      <c r="A26" s="479" t="s">
        <v>41</v>
      </c>
      <c r="B26" s="480"/>
      <c r="C26" s="480"/>
      <c r="D26" s="480"/>
      <c r="E26" s="480"/>
      <c r="F26" s="480"/>
      <c r="G26" s="480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479" t="s">
        <v>175</v>
      </c>
      <c r="B33" s="480"/>
      <c r="C33" s="480"/>
      <c r="D33" s="480"/>
      <c r="E33" s="480"/>
      <c r="F33" s="480"/>
      <c r="G33" s="480"/>
      <c r="H33" s="1"/>
    </row>
    <row r="34" spans="1:27" ht="15.75" customHeight="1" x14ac:dyDescent="0.15">
      <c r="A34" s="479" t="s">
        <v>176</v>
      </c>
      <c r="B34" s="480"/>
      <c r="C34" s="480"/>
      <c r="D34" s="480"/>
      <c r="E34" s="480"/>
      <c r="F34" s="480"/>
      <c r="G34" s="480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479" t="s">
        <v>190</v>
      </c>
      <c r="B41" s="480"/>
      <c r="C41" s="480"/>
      <c r="D41" s="480"/>
      <c r="E41" s="480"/>
      <c r="F41" s="480"/>
      <c r="G41" s="480"/>
      <c r="H41" s="1"/>
    </row>
    <row r="42" spans="1:27" ht="15.75" customHeight="1" x14ac:dyDescent="0.15">
      <c r="A42" s="479" t="s">
        <v>51</v>
      </c>
      <c r="B42" s="480"/>
      <c r="C42" s="480"/>
      <c r="D42" s="480"/>
      <c r="E42" s="480"/>
      <c r="F42" s="480"/>
      <c r="G42" s="480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479" t="s">
        <v>197</v>
      </c>
      <c r="B49" s="480"/>
      <c r="C49" s="480"/>
      <c r="D49" s="480"/>
      <c r="E49" s="480"/>
      <c r="F49" s="480"/>
      <c r="G49" s="480"/>
      <c r="H49" s="1"/>
    </row>
    <row r="50" spans="1:8" ht="15.75" customHeight="1" x14ac:dyDescent="0.15">
      <c r="A50" s="479" t="s">
        <v>49</v>
      </c>
      <c r="B50" s="480"/>
      <c r="C50" s="480"/>
      <c r="D50" s="480"/>
      <c r="E50" s="480"/>
      <c r="F50" s="480"/>
      <c r="G50" s="480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479" t="s">
        <v>204</v>
      </c>
      <c r="B57" s="480"/>
      <c r="C57" s="480"/>
      <c r="D57" s="480"/>
      <c r="E57" s="480"/>
      <c r="F57" s="480"/>
      <c r="G57" s="480"/>
      <c r="H57" s="1"/>
    </row>
    <row r="58" spans="1:8" ht="15.75" customHeight="1" x14ac:dyDescent="0.15">
      <c r="A58" s="479" t="s">
        <v>205</v>
      </c>
      <c r="B58" s="480"/>
      <c r="C58" s="480"/>
      <c r="D58" s="480"/>
      <c r="E58" s="480"/>
      <c r="F58" s="480"/>
      <c r="G58" s="480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479" t="s">
        <v>219</v>
      </c>
      <c r="B65" s="480"/>
      <c r="C65" s="480"/>
      <c r="D65" s="480"/>
      <c r="E65" s="480"/>
      <c r="F65" s="480"/>
      <c r="G65" s="480"/>
      <c r="H65" s="28"/>
    </row>
    <row r="66" spans="1:8" ht="15.75" customHeight="1" x14ac:dyDescent="0.15">
      <c r="A66" s="479" t="s">
        <v>220</v>
      </c>
      <c r="B66" s="480"/>
      <c r="C66" s="480"/>
      <c r="D66" s="480"/>
      <c r="E66" s="480"/>
      <c r="F66" s="480"/>
      <c r="G66" s="480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479" t="s">
        <v>234</v>
      </c>
      <c r="B73" s="480"/>
      <c r="C73" s="480"/>
      <c r="D73" s="480"/>
      <c r="E73" s="480"/>
      <c r="F73" s="480"/>
      <c r="G73" s="480"/>
      <c r="H73" s="1"/>
    </row>
    <row r="74" spans="1:8" ht="15.75" customHeight="1" x14ac:dyDescent="0.15">
      <c r="A74" s="479" t="s">
        <v>235</v>
      </c>
      <c r="B74" s="480"/>
      <c r="C74" s="480"/>
      <c r="D74" s="480"/>
      <c r="E74" s="480"/>
      <c r="F74" s="480"/>
      <c r="G74" s="480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479" t="s">
        <v>249</v>
      </c>
      <c r="B81" s="480"/>
      <c r="C81" s="480"/>
      <c r="D81" s="480"/>
      <c r="E81" s="480"/>
      <c r="F81" s="480"/>
      <c r="G81" s="480"/>
      <c r="H81" s="1"/>
    </row>
    <row r="82" spans="1:8" ht="15.75" customHeight="1" x14ac:dyDescent="0.15">
      <c r="A82" s="479" t="s">
        <v>250</v>
      </c>
      <c r="B82" s="480"/>
      <c r="C82" s="480"/>
      <c r="D82" s="480"/>
      <c r="E82" s="480"/>
      <c r="F82" s="480"/>
      <c r="G82" s="480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479" t="s">
        <v>255</v>
      </c>
      <c r="B89" s="480"/>
      <c r="C89" s="480"/>
      <c r="D89" s="480"/>
      <c r="E89" s="480"/>
      <c r="F89" s="480"/>
      <c r="G89" s="480"/>
      <c r="H89" s="27"/>
    </row>
    <row r="90" spans="1:8" ht="14" x14ac:dyDescent="0.15">
      <c r="A90" s="479" t="s">
        <v>256</v>
      </c>
      <c r="B90" s="480"/>
      <c r="C90" s="480"/>
      <c r="D90" s="480"/>
      <c r="E90" s="480"/>
      <c r="F90" s="480"/>
      <c r="G90" s="480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479" t="s">
        <v>269</v>
      </c>
      <c r="B97" s="480"/>
      <c r="C97" s="480"/>
      <c r="D97" s="480"/>
      <c r="E97" s="480"/>
      <c r="F97" s="480"/>
      <c r="G97" s="480"/>
      <c r="H97" s="27"/>
    </row>
    <row r="98" spans="1:8" ht="14" x14ac:dyDescent="0.15">
      <c r="A98" s="479" t="s">
        <v>270</v>
      </c>
      <c r="B98" s="480"/>
      <c r="C98" s="480"/>
      <c r="D98" s="480"/>
      <c r="E98" s="480"/>
      <c r="F98" s="480"/>
      <c r="G98" s="480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479" t="s">
        <v>284</v>
      </c>
      <c r="B105" s="480"/>
      <c r="C105" s="480"/>
      <c r="D105" s="480"/>
      <c r="E105" s="480"/>
      <c r="F105" s="480"/>
      <c r="G105" s="480"/>
      <c r="H105" s="27"/>
    </row>
    <row r="106" spans="1:8" ht="14" x14ac:dyDescent="0.15">
      <c r="A106" s="479" t="s">
        <v>34</v>
      </c>
      <c r="B106" s="480"/>
      <c r="C106" s="480"/>
      <c r="D106" s="480"/>
      <c r="E106" s="480"/>
      <c r="F106" s="480"/>
      <c r="G106" s="480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479" t="s">
        <v>297</v>
      </c>
      <c r="B113" s="480"/>
      <c r="C113" s="480"/>
      <c r="D113" s="480"/>
      <c r="E113" s="480"/>
      <c r="F113" s="480"/>
      <c r="G113" s="480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479" t="s">
        <v>310</v>
      </c>
      <c r="B119" s="480"/>
      <c r="C119" s="480"/>
      <c r="D119" s="480"/>
      <c r="E119" s="480"/>
      <c r="F119" s="480"/>
      <c r="G119" s="480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479" t="s">
        <v>323</v>
      </c>
      <c r="B126" s="480"/>
      <c r="C126" s="480"/>
      <c r="D126" s="480"/>
      <c r="E126" s="480"/>
      <c r="F126" s="480"/>
      <c r="G126" s="480"/>
      <c r="H126" s="27"/>
    </row>
    <row r="127" spans="1:8" ht="14" x14ac:dyDescent="0.15">
      <c r="A127" s="479" t="s">
        <v>324</v>
      </c>
      <c r="B127" s="480"/>
      <c r="C127" s="480"/>
      <c r="D127" s="480"/>
      <c r="E127" s="480"/>
      <c r="F127" s="480"/>
      <c r="G127" s="480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479" t="s">
        <v>327</v>
      </c>
      <c r="B134" s="480"/>
      <c r="C134" s="480"/>
      <c r="D134" s="480"/>
      <c r="E134" s="480"/>
      <c r="F134" s="480"/>
      <c r="G134" s="480"/>
      <c r="H134" s="27"/>
    </row>
    <row r="135" spans="1:8" ht="14" x14ac:dyDescent="0.15">
      <c r="A135" s="479" t="s">
        <v>328</v>
      </c>
      <c r="B135" s="480"/>
      <c r="C135" s="480"/>
      <c r="D135" s="480"/>
      <c r="E135" s="480"/>
      <c r="F135" s="480"/>
      <c r="G135" s="480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479" t="s">
        <v>329</v>
      </c>
      <c r="B142" s="480"/>
      <c r="C142" s="480"/>
      <c r="D142" s="480"/>
      <c r="E142" s="480"/>
      <c r="F142" s="480"/>
      <c r="G142" s="480"/>
      <c r="H142" s="27"/>
    </row>
    <row r="143" spans="1:8" ht="14" x14ac:dyDescent="0.15">
      <c r="A143" s="479" t="s">
        <v>40</v>
      </c>
      <c r="B143" s="480"/>
      <c r="C143" s="480"/>
      <c r="D143" s="480"/>
      <c r="E143" s="480"/>
      <c r="F143" s="480"/>
      <c r="G143" s="480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479" t="s">
        <v>343</v>
      </c>
      <c r="B150" s="480"/>
      <c r="C150" s="480"/>
      <c r="D150" s="480"/>
      <c r="E150" s="480"/>
      <c r="F150" s="480"/>
      <c r="G150" s="480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2:G2"/>
    <mergeCell ref="A9:G9"/>
    <mergeCell ref="A10:G10"/>
    <mergeCell ref="A17:G17"/>
    <mergeCell ref="A18:G18"/>
    <mergeCell ref="A25:G25"/>
    <mergeCell ref="A26:G26"/>
    <mergeCell ref="A33:G33"/>
    <mergeCell ref="A34:G34"/>
    <mergeCell ref="A41:G41"/>
    <mergeCell ref="A42:G42"/>
    <mergeCell ref="A49:G49"/>
    <mergeCell ref="A50:G50"/>
    <mergeCell ref="A57:G57"/>
    <mergeCell ref="A58:G58"/>
    <mergeCell ref="A65:G65"/>
    <mergeCell ref="A66:G66"/>
    <mergeCell ref="A73:G73"/>
    <mergeCell ref="A74:G74"/>
    <mergeCell ref="A81:G81"/>
    <mergeCell ref="A82:G82"/>
    <mergeCell ref="A119:G119"/>
    <mergeCell ref="A126:G126"/>
    <mergeCell ref="A127:G127"/>
    <mergeCell ref="A134:G134"/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Final wMMLUPro-v21</vt:lpstr>
      <vt:lpstr>Cost</vt:lpstr>
      <vt:lpstr>MMLU Pro</vt:lpstr>
      <vt:lpstr>Final  (v21) 14B 32B</vt:lpstr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  <vt:lpstr>Cost!cost_summary</vt:lpstr>
      <vt:lpstr>'MMLU Pro'!Untitled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 Jr</cp:lastModifiedBy>
  <dcterms:created xsi:type="dcterms:W3CDTF">2026-05-10T10:09:34Z</dcterms:created>
  <dcterms:modified xsi:type="dcterms:W3CDTF">2026-05-26T19:11:16Z</dcterms:modified>
</cp:coreProperties>
</file>