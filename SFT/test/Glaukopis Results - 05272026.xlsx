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netorg18370684-my.sharepoint.com/personal/pworthjr_athenasoftwaregrp_com/Documents/Athena/R&amp;D/Glaukopis/results/"/>
    </mc:Choice>
  </mc:AlternateContent>
  <xr:revisionPtr revIDLastSave="132" documentId="8_{B0023BE5-D6C1-FB41-9BBC-52B98F68FED5}" xr6:coauthVersionLast="47" xr6:coauthVersionMax="47" xr10:uidLastSave="{E782C6DC-CF7F-AB44-91A2-8849C0751F8D}"/>
  <bookViews>
    <workbookView xWindow="50920" yWindow="320" windowWidth="43340" windowHeight="26940" xr2:uid="{00000000-000D-0000-FFFF-FFFF00000000}"/>
  </bookViews>
  <sheets>
    <sheet name="Final wMMLUPro-v21" sheetId="13" r:id="rId1"/>
    <sheet name="Cost" sheetId="21" r:id="rId2"/>
    <sheet name="MMLU Pro" sheetId="15" r:id="rId3"/>
    <sheet name="Final  (v21) 14B 32B" sheetId="12" r:id="rId4"/>
    <sheet name="Prod Target (v21)" sheetId="11" r:id="rId5"/>
    <sheet name="Glaukopis Baseline (v20)" sheetId="10" r:id="rId6"/>
    <sheet name="Glaukopis Baseline (TEST II))" sheetId="9" r:id="rId7"/>
    <sheet name="Glaukopis (TEST)" sheetId="7" r:id="rId8"/>
    <sheet name="Glaukopis (deprecated)" sheetId="1" r:id="rId9"/>
    <sheet name="AthenaBench (deprecated)" sheetId="2" r:id="rId10"/>
    <sheet name="Cyber Metric" sheetId="3" r:id="rId11"/>
    <sheet name="CTIBench" sheetId="4" r:id="rId12"/>
    <sheet name="NLU Benchmarks" sheetId="5" r:id="rId13"/>
    <sheet name="AthenaBench run (Cost)" sheetId="6" r:id="rId14"/>
  </sheets>
  <definedNames>
    <definedName name="cost_summary" localSheetId="1">Cost!$A$1:$N$35</definedName>
    <definedName name="Untitled" localSheetId="2">'MMLU Pro'!$A$1:$T$36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3" l="1"/>
  <c r="F41" i="13"/>
  <c r="F40" i="13"/>
  <c r="F39" i="13"/>
  <c r="F38" i="13"/>
  <c r="F36" i="13"/>
  <c r="F35" i="13"/>
  <c r="F34" i="13"/>
  <c r="F33" i="13"/>
  <c r="F32" i="13"/>
  <c r="F30" i="13"/>
  <c r="F29" i="13"/>
  <c r="F28" i="13"/>
  <c r="F27" i="13"/>
  <c r="F26" i="13"/>
  <c r="F24" i="13"/>
  <c r="F23" i="13"/>
  <c r="F22" i="13"/>
  <c r="F21" i="13"/>
  <c r="F20" i="13"/>
  <c r="F19" i="13"/>
  <c r="F17" i="13"/>
  <c r="F16" i="13"/>
  <c r="F15" i="13"/>
  <c r="F14" i="13"/>
  <c r="F13" i="13"/>
  <c r="F12" i="13"/>
  <c r="F10" i="13"/>
  <c r="F9" i="13"/>
  <c r="F8" i="13"/>
  <c r="F7" i="13"/>
  <c r="F6" i="13"/>
  <c r="F5" i="13"/>
  <c r="AD29" i="13" l="1"/>
  <c r="AA29" i="13"/>
  <c r="T29" i="13"/>
  <c r="AA27" i="13"/>
  <c r="E27" i="13" s="1"/>
  <c r="T27" i="13"/>
  <c r="D27" i="13" s="1"/>
  <c r="AA42" i="13"/>
  <c r="E42" i="13" s="1"/>
  <c r="AA41" i="13"/>
  <c r="E41" i="13" s="1"/>
  <c r="AA40" i="13"/>
  <c r="E40" i="13" s="1"/>
  <c r="AA39" i="13"/>
  <c r="E39" i="13" s="1"/>
  <c r="AA38" i="13"/>
  <c r="E38" i="13" s="1"/>
  <c r="AA36" i="13"/>
  <c r="AA35" i="13"/>
  <c r="E35" i="13" s="1"/>
  <c r="AA34" i="13"/>
  <c r="E34" i="13" s="1"/>
  <c r="AA32" i="13"/>
  <c r="E32" i="13" s="1"/>
  <c r="AA33" i="13"/>
  <c r="E33" i="13" s="1"/>
  <c r="AA30" i="13"/>
  <c r="E30" i="13" s="1"/>
  <c r="AA28" i="13"/>
  <c r="E28" i="13" s="1"/>
  <c r="AA26" i="13"/>
  <c r="E26" i="13" s="1"/>
  <c r="E29" i="13"/>
  <c r="AA24" i="13"/>
  <c r="AA23" i="13"/>
  <c r="C23" i="13" s="1"/>
  <c r="AA22" i="13"/>
  <c r="C22" i="13" s="1"/>
  <c r="AA21" i="13"/>
  <c r="C21" i="13" s="1"/>
  <c r="AA20" i="13"/>
  <c r="C20" i="13" s="1"/>
  <c r="AA19" i="13"/>
  <c r="C19" i="13" s="1"/>
  <c r="AA17" i="13"/>
  <c r="AA16" i="13"/>
  <c r="E16" i="13" s="1"/>
  <c r="AA15" i="13"/>
  <c r="E15" i="13" s="1"/>
  <c r="AA14" i="13"/>
  <c r="E14" i="13" s="1"/>
  <c r="AA13" i="13"/>
  <c r="E13" i="13" s="1"/>
  <c r="AA12" i="13"/>
  <c r="E12" i="13" s="1"/>
  <c r="D29" i="13"/>
  <c r="AA8" i="13"/>
  <c r="AD8" i="13"/>
  <c r="T8" i="13"/>
  <c r="D8" i="13" s="1"/>
  <c r="AA5" i="13"/>
  <c r="AD5" i="13"/>
  <c r="T40" i="13"/>
  <c r="D40" i="13" s="1"/>
  <c r="T5" i="13"/>
  <c r="V5" i="13" s="1"/>
  <c r="AD24" i="13"/>
  <c r="T24" i="13"/>
  <c r="D24" i="13" s="1"/>
  <c r="T38" i="13"/>
  <c r="D38" i="13" s="1"/>
  <c r="T39" i="13"/>
  <c r="D39" i="13" s="1"/>
  <c r="E36" i="13"/>
  <c r="T30" i="13"/>
  <c r="D30" i="13" s="1"/>
  <c r="T28" i="13"/>
  <c r="D28" i="13" s="1"/>
  <c r="T26" i="13"/>
  <c r="D26" i="13" s="1"/>
  <c r="T36" i="13"/>
  <c r="D36" i="13" s="1"/>
  <c r="T35" i="13"/>
  <c r="D35" i="13" s="1"/>
  <c r="T34" i="13"/>
  <c r="D34" i="13" s="1"/>
  <c r="T32" i="13"/>
  <c r="D32" i="13" s="1"/>
  <c r="T33" i="13"/>
  <c r="D33" i="13" s="1"/>
  <c r="T42" i="13"/>
  <c r="D42" i="13" s="1"/>
  <c r="T41" i="13"/>
  <c r="D41" i="13" s="1"/>
  <c r="T17" i="13"/>
  <c r="D17" i="13" s="1"/>
  <c r="T16" i="13"/>
  <c r="D16" i="13" s="1"/>
  <c r="T15" i="13"/>
  <c r="D15" i="13" s="1"/>
  <c r="T14" i="13"/>
  <c r="D14" i="13" s="1"/>
  <c r="T13" i="13"/>
  <c r="D13" i="13" s="1"/>
  <c r="T12" i="13"/>
  <c r="D12" i="13" s="1"/>
  <c r="AD6" i="13"/>
  <c r="AA6" i="13"/>
  <c r="T6" i="13"/>
  <c r="D6" i="13" s="1"/>
  <c r="AD17" i="13"/>
  <c r="V17" i="13"/>
  <c r="U17" i="13"/>
  <c r="AD10" i="13"/>
  <c r="AA10" i="13"/>
  <c r="T10" i="13"/>
  <c r="V10" i="13" s="1"/>
  <c r="AD9" i="13"/>
  <c r="AA9" i="13"/>
  <c r="T9" i="13"/>
  <c r="V9" i="13" s="1"/>
  <c r="AD7" i="13"/>
  <c r="AA7" i="13"/>
  <c r="T7" i="13"/>
  <c r="V7" i="13" s="1"/>
  <c r="AA11" i="12"/>
  <c r="X11" i="12"/>
  <c r="Q11" i="12"/>
  <c r="AC11" i="12" s="1"/>
  <c r="Q18" i="12"/>
  <c r="S18" i="12" s="1"/>
  <c r="X18" i="12"/>
  <c r="AA18" i="12"/>
  <c r="X13" i="12"/>
  <c r="AA13" i="12"/>
  <c r="Q13" i="12"/>
  <c r="AC13" i="12" s="1"/>
  <c r="AA23" i="12"/>
  <c r="X23" i="12"/>
  <c r="Q23" i="12"/>
  <c r="AC23" i="12" s="1"/>
  <c r="AA5" i="12"/>
  <c r="X5" i="12"/>
  <c r="Q5" i="12"/>
  <c r="AC5" i="12" s="1"/>
  <c r="AA6" i="12"/>
  <c r="X6" i="12"/>
  <c r="Q6" i="12"/>
  <c r="AC6" i="12" s="1"/>
  <c r="Q27" i="12"/>
  <c r="AC27" i="12" s="1"/>
  <c r="Q26" i="12"/>
  <c r="AC26" i="12" s="1"/>
  <c r="Q25" i="12"/>
  <c r="R25" i="12" s="1"/>
  <c r="Q24" i="12"/>
  <c r="AC24" i="12" s="1"/>
  <c r="Q22" i="12"/>
  <c r="R22" i="12" s="1"/>
  <c r="Q21" i="12"/>
  <c r="AC21" i="12" s="1"/>
  <c r="Q19" i="12"/>
  <c r="AC19" i="12" s="1"/>
  <c r="Q20" i="12"/>
  <c r="AC20" i="12" s="1"/>
  <c r="Q16" i="12"/>
  <c r="S16" i="12" s="1"/>
  <c r="Q15" i="12"/>
  <c r="S15" i="12" s="1"/>
  <c r="Q17" i="12"/>
  <c r="R17" i="12" s="1"/>
  <c r="Q14" i="12"/>
  <c r="S14" i="12" s="1"/>
  <c r="Q12" i="12"/>
  <c r="S12" i="12" s="1"/>
  <c r="Q10" i="12"/>
  <c r="AC10" i="12" s="1"/>
  <c r="Q9" i="12"/>
  <c r="AC9" i="12" s="1"/>
  <c r="Q8" i="12"/>
  <c r="AC8" i="12" s="1"/>
  <c r="Q7" i="12"/>
  <c r="AC7" i="12" s="1"/>
  <c r="X15" i="12"/>
  <c r="AA15" i="12"/>
  <c r="X14" i="12"/>
  <c r="AA14" i="12"/>
  <c r="X16" i="12"/>
  <c r="AA16" i="12"/>
  <c r="C10" i="13" l="1"/>
  <c r="C35" i="13"/>
  <c r="C39" i="13"/>
  <c r="C7" i="13"/>
  <c r="C34" i="13"/>
  <c r="C41" i="13"/>
  <c r="C5" i="13"/>
  <c r="C33" i="13"/>
  <c r="C38" i="13"/>
  <c r="C17" i="13"/>
  <c r="C8" i="13"/>
  <c r="C24" i="13"/>
  <c r="C6" i="13"/>
  <c r="C9" i="13"/>
  <c r="C32" i="13"/>
  <c r="C27" i="13"/>
  <c r="C30" i="13"/>
  <c r="C40" i="13"/>
  <c r="C12" i="13"/>
  <c r="C26" i="13"/>
  <c r="C28" i="13"/>
  <c r="C36" i="13"/>
  <c r="C29" i="13"/>
  <c r="C42" i="13"/>
  <c r="C14" i="13"/>
  <c r="C15" i="13"/>
  <c r="C13" i="13"/>
  <c r="C16" i="13"/>
  <c r="U8" i="13"/>
  <c r="V8" i="13"/>
  <c r="E8" i="13" s="1"/>
  <c r="D5" i="13"/>
  <c r="E5" i="13"/>
  <c r="U5" i="13"/>
  <c r="U24" i="13"/>
  <c r="V24" i="13"/>
  <c r="E24" i="13" s="1"/>
  <c r="E10" i="13"/>
  <c r="E17" i="13"/>
  <c r="V6" i="13"/>
  <c r="E6" i="13" s="1"/>
  <c r="U6" i="13"/>
  <c r="D7" i="13"/>
  <c r="U7" i="13"/>
  <c r="D10" i="13"/>
  <c r="E7" i="13"/>
  <c r="E9" i="13"/>
  <c r="D9" i="13"/>
  <c r="U10" i="13"/>
  <c r="U9" i="13"/>
  <c r="S11" i="12"/>
  <c r="AB11" i="12" s="1"/>
  <c r="R11" i="12"/>
  <c r="AB18" i="12"/>
  <c r="AC18" i="12"/>
  <c r="R18" i="12"/>
  <c r="S13" i="12"/>
  <c r="AB13" i="12" s="1"/>
  <c r="R13" i="12"/>
  <c r="S23" i="12"/>
  <c r="AB23" i="12" s="1"/>
  <c r="R23" i="12"/>
  <c r="S26" i="12"/>
  <c r="AC25" i="12"/>
  <c r="S24" i="12"/>
  <c r="R5" i="12"/>
  <c r="AC22" i="12"/>
  <c r="R26" i="12"/>
  <c r="S9" i="12"/>
  <c r="S25" i="12"/>
  <c r="S27" i="12"/>
  <c r="R24" i="12"/>
  <c r="R27" i="12"/>
  <c r="S7" i="12"/>
  <c r="S8" i="12"/>
  <c r="S10" i="12"/>
  <c r="S20" i="12"/>
  <c r="R8" i="12"/>
  <c r="S19" i="12"/>
  <c r="R9" i="12"/>
  <c r="S21" i="12"/>
  <c r="S5" i="12"/>
  <c r="AB5" i="12" s="1"/>
  <c r="R7" i="12"/>
  <c r="R10" i="12"/>
  <c r="S22" i="12"/>
  <c r="R6" i="12"/>
  <c r="S6" i="12"/>
  <c r="AB6" i="12" s="1"/>
  <c r="AC12" i="12"/>
  <c r="AC17" i="12"/>
  <c r="AC15" i="12"/>
  <c r="AC16" i="12"/>
  <c r="R15" i="12"/>
  <c r="R20" i="12"/>
  <c r="R19" i="12"/>
  <c r="AC14" i="12"/>
  <c r="R14" i="12"/>
  <c r="R16" i="12"/>
  <c r="R21" i="12"/>
  <c r="R12" i="12"/>
  <c r="AB15" i="12"/>
  <c r="AB14" i="12"/>
  <c r="AB16" i="12"/>
  <c r="AA27" i="12" l="1"/>
  <c r="X27" i="12"/>
  <c r="AA26" i="12"/>
  <c r="X26" i="12"/>
  <c r="AA25" i="12"/>
  <c r="X25" i="12"/>
  <c r="AA24" i="12"/>
  <c r="X24" i="12"/>
  <c r="AA22" i="12"/>
  <c r="X22" i="12"/>
  <c r="AA21" i="12"/>
  <c r="X21" i="12"/>
  <c r="AA19" i="12"/>
  <c r="X19" i="12"/>
  <c r="AA20" i="12"/>
  <c r="X20" i="12"/>
  <c r="AA17" i="12"/>
  <c r="X17" i="12"/>
  <c r="S17" i="12"/>
  <c r="AA12" i="12"/>
  <c r="X12" i="12"/>
  <c r="AA10" i="12"/>
  <c r="X10" i="12"/>
  <c r="AA9" i="12"/>
  <c r="X9" i="12"/>
  <c r="AA8" i="12"/>
  <c r="X8" i="12"/>
  <c r="AA7" i="12"/>
  <c r="X7" i="12"/>
  <c r="AA8" i="11"/>
  <c r="V8" i="11"/>
  <c r="Y8" i="11"/>
  <c r="Q8" i="11"/>
  <c r="P8" i="11"/>
  <c r="V9" i="11"/>
  <c r="AA9" i="11"/>
  <c r="Y9" i="11"/>
  <c r="Q9" i="11"/>
  <c r="P9" i="11"/>
  <c r="V14" i="11"/>
  <c r="AA14" i="11"/>
  <c r="Y14" i="11"/>
  <c r="Q14" i="11"/>
  <c r="P14" i="11"/>
  <c r="V13" i="11"/>
  <c r="AA13" i="11"/>
  <c r="Y13" i="11"/>
  <c r="Q13" i="11"/>
  <c r="P13" i="11"/>
  <c r="V11" i="11"/>
  <c r="AA11" i="11"/>
  <c r="Y11" i="11"/>
  <c r="Q11" i="11"/>
  <c r="P11" i="11"/>
  <c r="AA28" i="11"/>
  <c r="V28" i="11"/>
  <c r="Y28" i="11"/>
  <c r="Q28" i="11"/>
  <c r="P28" i="11"/>
  <c r="V21" i="11"/>
  <c r="AA21" i="11"/>
  <c r="Y21" i="11"/>
  <c r="Q21" i="11"/>
  <c r="P21" i="11"/>
  <c r="AA31" i="11"/>
  <c r="V31" i="11"/>
  <c r="Y31" i="11"/>
  <c r="Q31" i="11"/>
  <c r="P31" i="11"/>
  <c r="AA32" i="11"/>
  <c r="V32" i="11"/>
  <c r="Y32" i="11"/>
  <c r="Q32" i="11"/>
  <c r="P32" i="11"/>
  <c r="AA20" i="11"/>
  <c r="V20" i="11"/>
  <c r="Y20" i="11"/>
  <c r="Q20" i="11"/>
  <c r="P20" i="11"/>
  <c r="AA26" i="11"/>
  <c r="V26" i="11"/>
  <c r="Y26" i="11"/>
  <c r="Q26" i="11"/>
  <c r="P26" i="11"/>
  <c r="AA33" i="11"/>
  <c r="Y33" i="11"/>
  <c r="V33" i="11"/>
  <c r="Q33" i="11"/>
  <c r="P33" i="11"/>
  <c r="AA30" i="11"/>
  <c r="Y30" i="11"/>
  <c r="V30" i="11"/>
  <c r="Q30" i="11"/>
  <c r="P30" i="11"/>
  <c r="AA29" i="11"/>
  <c r="Y29" i="11"/>
  <c r="V29" i="11"/>
  <c r="Q29" i="11"/>
  <c r="P29" i="11"/>
  <c r="AA27" i="11"/>
  <c r="Y27" i="11"/>
  <c r="V27" i="11"/>
  <c r="Q27" i="11"/>
  <c r="P27" i="11"/>
  <c r="AA25" i="11"/>
  <c r="Y25" i="11"/>
  <c r="V25" i="11"/>
  <c r="Q25" i="11"/>
  <c r="P25" i="11"/>
  <c r="AA24" i="11"/>
  <c r="Y24" i="11"/>
  <c r="V24" i="11"/>
  <c r="Q24" i="11"/>
  <c r="P24" i="11"/>
  <c r="AA23" i="11"/>
  <c r="Y23" i="11"/>
  <c r="V23" i="11"/>
  <c r="Q23" i="11"/>
  <c r="P23" i="11"/>
  <c r="AA22" i="11"/>
  <c r="Y22" i="11"/>
  <c r="V22" i="11"/>
  <c r="Q22" i="11"/>
  <c r="P22" i="11"/>
  <c r="AA19" i="11"/>
  <c r="Y19" i="11"/>
  <c r="V19" i="11"/>
  <c r="Q19" i="11"/>
  <c r="P19" i="11"/>
  <c r="AA18" i="11"/>
  <c r="Y18" i="11"/>
  <c r="V18" i="11"/>
  <c r="Q18" i="11"/>
  <c r="P18" i="11"/>
  <c r="AA17" i="11"/>
  <c r="Y17" i="11"/>
  <c r="V17" i="11"/>
  <c r="P17" i="11"/>
  <c r="H17" i="11"/>
  <c r="Q17" i="11" s="1"/>
  <c r="AA16" i="11"/>
  <c r="Y16" i="11"/>
  <c r="V16" i="11"/>
  <c r="Q16" i="11"/>
  <c r="P16" i="11"/>
  <c r="AA15" i="11"/>
  <c r="Y15" i="11"/>
  <c r="V15" i="11"/>
  <c r="Q15" i="11"/>
  <c r="P15" i="11"/>
  <c r="AA12" i="11"/>
  <c r="Y12" i="11"/>
  <c r="V12" i="11"/>
  <c r="Q12" i="11"/>
  <c r="P12" i="11"/>
  <c r="AA10" i="11"/>
  <c r="Y10" i="11"/>
  <c r="V10" i="11"/>
  <c r="Q10" i="11"/>
  <c r="P10" i="11"/>
  <c r="AA7" i="11"/>
  <c r="Y7" i="11"/>
  <c r="V7" i="11"/>
  <c r="Q7" i="11"/>
  <c r="P7" i="11"/>
  <c r="AA6" i="11"/>
  <c r="Y6" i="11"/>
  <c r="V6" i="11"/>
  <c r="Q6" i="11"/>
  <c r="P6" i="11"/>
  <c r="AA5" i="11"/>
  <c r="Y5" i="11"/>
  <c r="V5" i="11"/>
  <c r="Q5" i="11"/>
  <c r="P5" i="11"/>
  <c r="V42" i="10"/>
  <c r="AA42" i="10"/>
  <c r="V20" i="10"/>
  <c r="V23" i="10"/>
  <c r="V22" i="10"/>
  <c r="AA37" i="10"/>
  <c r="V37" i="10"/>
  <c r="Y37" i="10"/>
  <c r="Q37" i="10"/>
  <c r="P37" i="10"/>
  <c r="Y42" i="10"/>
  <c r="Q42" i="10"/>
  <c r="P42" i="10"/>
  <c r="V40" i="10"/>
  <c r="AA40" i="10"/>
  <c r="Y40" i="10"/>
  <c r="Q40" i="10"/>
  <c r="P40" i="10"/>
  <c r="AA39" i="10"/>
  <c r="V39" i="10"/>
  <c r="Y39" i="10"/>
  <c r="Q39" i="10"/>
  <c r="P39" i="10"/>
  <c r="AA35" i="10"/>
  <c r="Y35" i="10"/>
  <c r="V35" i="10"/>
  <c r="Q35" i="10"/>
  <c r="P35" i="10"/>
  <c r="V11" i="10"/>
  <c r="AA11" i="10"/>
  <c r="Y11" i="10"/>
  <c r="Q11" i="10"/>
  <c r="P11" i="10"/>
  <c r="AA10" i="10"/>
  <c r="AA22" i="10"/>
  <c r="AA9" i="10"/>
  <c r="Y22" i="10"/>
  <c r="Q22" i="10"/>
  <c r="P22" i="10"/>
  <c r="V17" i="10"/>
  <c r="V16" i="10"/>
  <c r="V15" i="10"/>
  <c r="V14" i="10"/>
  <c r="V12" i="10"/>
  <c r="V13" i="10"/>
  <c r="AA12" i="10"/>
  <c r="Y12" i="10"/>
  <c r="Q12" i="10"/>
  <c r="P12" i="10"/>
  <c r="AA19" i="10"/>
  <c r="V19" i="10"/>
  <c r="Y19" i="10"/>
  <c r="Q19" i="10"/>
  <c r="P19" i="10"/>
  <c r="Y29" i="10"/>
  <c r="AA29" i="10"/>
  <c r="V33" i="10"/>
  <c r="V32" i="10"/>
  <c r="V31" i="10"/>
  <c r="V30" i="10"/>
  <c r="V29" i="10"/>
  <c r="V28" i="10"/>
  <c r="Q29" i="10"/>
  <c r="P29" i="10"/>
  <c r="AA30" i="10"/>
  <c r="Y30" i="10"/>
  <c r="P32" i="10"/>
  <c r="P31" i="10"/>
  <c r="P28" i="10"/>
  <c r="P30" i="10"/>
  <c r="P27" i="10"/>
  <c r="Q30" i="10"/>
  <c r="Y38" i="10"/>
  <c r="Y36" i="10"/>
  <c r="Y33" i="10"/>
  <c r="Y32" i="10"/>
  <c r="Y28" i="10"/>
  <c r="Y31" i="10"/>
  <c r="Y27" i="10"/>
  <c r="Y26" i="10"/>
  <c r="Y25" i="10"/>
  <c r="Y24" i="10"/>
  <c r="Y23" i="10"/>
  <c r="Y21" i="10"/>
  <c r="V36" i="10"/>
  <c r="V27" i="10"/>
  <c r="V26" i="10"/>
  <c r="V25" i="10"/>
  <c r="AA31" i="10"/>
  <c r="Q31" i="10"/>
  <c r="AA33" i="10"/>
  <c r="Q33" i="10"/>
  <c r="P33" i="10"/>
  <c r="AA44" i="10"/>
  <c r="Y44" i="10"/>
  <c r="V44" i="10"/>
  <c r="Q44" i="10"/>
  <c r="P44" i="10"/>
  <c r="AA41" i="10"/>
  <c r="Y41" i="10"/>
  <c r="V41" i="10"/>
  <c r="Q41" i="10"/>
  <c r="P41" i="10"/>
  <c r="AA38" i="10"/>
  <c r="V38" i="10"/>
  <c r="Q38" i="10"/>
  <c r="P38" i="10"/>
  <c r="AA36" i="10"/>
  <c r="Q36" i="10"/>
  <c r="P36" i="10"/>
  <c r="AA32" i="10"/>
  <c r="Q32" i="10"/>
  <c r="AA28" i="10"/>
  <c r="Q28" i="10"/>
  <c r="AA27" i="10"/>
  <c r="Q27" i="10"/>
  <c r="AA26" i="10"/>
  <c r="Q26" i="10"/>
  <c r="P26" i="10"/>
  <c r="AA25" i="10"/>
  <c r="Q25" i="10"/>
  <c r="P25" i="10"/>
  <c r="AA24" i="10"/>
  <c r="V24" i="10"/>
  <c r="Q24" i="10"/>
  <c r="P24" i="10"/>
  <c r="AA23" i="10"/>
  <c r="Q23" i="10"/>
  <c r="P23" i="10"/>
  <c r="AA21" i="10"/>
  <c r="V21" i="10"/>
  <c r="Q21" i="10"/>
  <c r="P21" i="10"/>
  <c r="AA20" i="10"/>
  <c r="Y20" i="10"/>
  <c r="Q20" i="10"/>
  <c r="P20" i="10"/>
  <c r="AA18" i="10"/>
  <c r="Y18" i="10"/>
  <c r="V18" i="10"/>
  <c r="Q18" i="10"/>
  <c r="P18" i="10"/>
  <c r="AA17" i="10"/>
  <c r="Y17" i="10"/>
  <c r="P17" i="10"/>
  <c r="H17" i="10"/>
  <c r="Q17" i="10" s="1"/>
  <c r="AA16" i="10"/>
  <c r="Y16" i="10"/>
  <c r="Q16" i="10"/>
  <c r="P16" i="10"/>
  <c r="AA15" i="10"/>
  <c r="Y15" i="10"/>
  <c r="Q15" i="10"/>
  <c r="P15" i="10"/>
  <c r="AA14" i="10"/>
  <c r="Y14" i="10"/>
  <c r="Q14" i="10"/>
  <c r="P14" i="10"/>
  <c r="AA13" i="10"/>
  <c r="Y13" i="10"/>
  <c r="Q13" i="10"/>
  <c r="P13" i="10"/>
  <c r="Y10" i="10"/>
  <c r="V10" i="10"/>
  <c r="Q10" i="10"/>
  <c r="P10" i="10"/>
  <c r="Y9" i="10"/>
  <c r="V9" i="10"/>
  <c r="Q9" i="10"/>
  <c r="P9" i="10"/>
  <c r="AA8" i="10"/>
  <c r="Y8" i="10"/>
  <c r="V8" i="10"/>
  <c r="Q8" i="10"/>
  <c r="P8" i="10"/>
  <c r="AA7" i="10"/>
  <c r="Y7" i="10"/>
  <c r="V7" i="10"/>
  <c r="Q7" i="10"/>
  <c r="P7" i="10"/>
  <c r="AA6" i="10"/>
  <c r="Y6" i="10"/>
  <c r="V6" i="10"/>
  <c r="Q6" i="10"/>
  <c r="P6" i="10"/>
  <c r="AA5" i="10"/>
  <c r="Y5" i="10"/>
  <c r="V5" i="10"/>
  <c r="Q5" i="10"/>
  <c r="P5" i="10"/>
  <c r="AA17" i="9"/>
  <c r="AA16" i="9"/>
  <c r="AA15" i="9"/>
  <c r="AA14" i="9"/>
  <c r="AA13" i="9"/>
  <c r="AA12" i="9"/>
  <c r="AA11" i="9"/>
  <c r="AA10" i="9"/>
  <c r="V14" i="9"/>
  <c r="Y14" i="9"/>
  <c r="Q14" i="9"/>
  <c r="P14" i="9"/>
  <c r="AA6" i="9"/>
  <c r="Y6" i="9"/>
  <c r="V6" i="9"/>
  <c r="Q6" i="9"/>
  <c r="P6" i="9"/>
  <c r="AA46" i="9"/>
  <c r="AA45" i="9"/>
  <c r="AA44" i="9"/>
  <c r="AA43" i="9"/>
  <c r="AA41" i="9"/>
  <c r="AA42" i="9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25" i="9"/>
  <c r="AA24" i="9"/>
  <c r="AA23" i="9"/>
  <c r="AA22" i="9"/>
  <c r="AA21" i="9"/>
  <c r="AA20" i="9"/>
  <c r="AA19" i="9"/>
  <c r="AA18" i="9"/>
  <c r="AA8" i="9"/>
  <c r="AA9" i="9"/>
  <c r="AA5" i="9"/>
  <c r="AA7" i="9"/>
  <c r="Y12" i="9"/>
  <c r="V12" i="9"/>
  <c r="Q12" i="9"/>
  <c r="P12" i="9"/>
  <c r="V23" i="9"/>
  <c r="Y23" i="9"/>
  <c r="Q23" i="9"/>
  <c r="P23" i="9"/>
  <c r="V20" i="9"/>
  <c r="Y20" i="9"/>
  <c r="Q20" i="9"/>
  <c r="P20" i="9"/>
  <c r="V29" i="9"/>
  <c r="Y29" i="9"/>
  <c r="Q29" i="9"/>
  <c r="P29" i="9"/>
  <c r="V45" i="9"/>
  <c r="V44" i="9"/>
  <c r="V43" i="9"/>
  <c r="V41" i="9"/>
  <c r="V42" i="9"/>
  <c r="V40" i="9"/>
  <c r="V39" i="9"/>
  <c r="V38" i="9"/>
  <c r="V37" i="9"/>
  <c r="V36" i="9"/>
  <c r="Z36" i="9" s="1"/>
  <c r="V35" i="9"/>
  <c r="V17" i="9"/>
  <c r="V34" i="9"/>
  <c r="V33" i="9"/>
  <c r="V32" i="9"/>
  <c r="V31" i="9"/>
  <c r="V30" i="9"/>
  <c r="V28" i="9"/>
  <c r="V27" i="9"/>
  <c r="V26" i="9"/>
  <c r="V25" i="9"/>
  <c r="V24" i="9"/>
  <c r="V22" i="9"/>
  <c r="V21" i="9"/>
  <c r="V19" i="9"/>
  <c r="V18" i="9"/>
  <c r="Z18" i="9" s="1"/>
  <c r="V16" i="9"/>
  <c r="V15" i="9"/>
  <c r="V13" i="9"/>
  <c r="V8" i="9"/>
  <c r="V11" i="9"/>
  <c r="V10" i="9"/>
  <c r="V9" i="9"/>
  <c r="V5" i="9"/>
  <c r="Y16" i="9"/>
  <c r="Q16" i="9"/>
  <c r="P16" i="9"/>
  <c r="Y9" i="9"/>
  <c r="Y13" i="9"/>
  <c r="Q13" i="9"/>
  <c r="P13" i="9"/>
  <c r="Q9" i="9"/>
  <c r="P9" i="9"/>
  <c r="Y8" i="9"/>
  <c r="Q8" i="9"/>
  <c r="P8" i="9"/>
  <c r="Y5" i="9"/>
  <c r="Q5" i="9"/>
  <c r="P5" i="9"/>
  <c r="Y46" i="9"/>
  <c r="V46" i="9"/>
  <c r="Q46" i="9"/>
  <c r="P46" i="9"/>
  <c r="Y17" i="9"/>
  <c r="P17" i="9"/>
  <c r="H17" i="9"/>
  <c r="Q17" i="9" s="1"/>
  <c r="Y43" i="9"/>
  <c r="Q43" i="9"/>
  <c r="P43" i="9"/>
  <c r="Y10" i="9"/>
  <c r="Q10" i="9"/>
  <c r="P10" i="9"/>
  <c r="Y18" i="9"/>
  <c r="Q18" i="9"/>
  <c r="P18" i="9"/>
  <c r="Y24" i="9"/>
  <c r="Q24" i="9"/>
  <c r="P24" i="9"/>
  <c r="Y27" i="9"/>
  <c r="Y28" i="9"/>
  <c r="Q28" i="9"/>
  <c r="P28" i="9"/>
  <c r="Q27" i="9"/>
  <c r="P27" i="9"/>
  <c r="Y21" i="9"/>
  <c r="Q21" i="9"/>
  <c r="P21" i="9"/>
  <c r="Y25" i="9"/>
  <c r="Q25" i="9"/>
  <c r="P25" i="9"/>
  <c r="Y36" i="9"/>
  <c r="Q36" i="9"/>
  <c r="P36" i="9"/>
  <c r="AB9" i="12" l="1"/>
  <c r="AB20" i="12"/>
  <c r="AB8" i="12"/>
  <c r="AB22" i="12"/>
  <c r="AB27" i="12"/>
  <c r="AB21" i="12"/>
  <c r="AB24" i="12"/>
  <c r="AB26" i="12"/>
  <c r="AB19" i="12"/>
  <c r="AB7" i="12"/>
  <c r="AB25" i="12"/>
  <c r="AB10" i="12"/>
  <c r="AB12" i="12"/>
  <c r="AB17" i="12"/>
  <c r="Z8" i="11"/>
  <c r="Z9" i="11"/>
  <c r="Z14" i="11"/>
  <c r="Z13" i="11"/>
  <c r="Z11" i="11"/>
  <c r="Z28" i="11"/>
  <c r="Z21" i="11"/>
  <c r="Z31" i="11"/>
  <c r="Z32" i="11"/>
  <c r="Z20" i="11"/>
  <c r="Z26" i="11"/>
  <c r="Z33" i="11"/>
  <c r="Z18" i="11"/>
  <c r="Z23" i="11"/>
  <c r="Z7" i="11"/>
  <c r="Z6" i="11"/>
  <c r="Z5" i="11"/>
  <c r="Z24" i="11"/>
  <c r="Z29" i="11"/>
  <c r="Z16" i="11"/>
  <c r="Z10" i="11"/>
  <c r="Z12" i="11"/>
  <c r="Z27" i="11"/>
  <c r="Z19" i="11"/>
  <c r="Z22" i="11"/>
  <c r="Z25" i="11"/>
  <c r="Z30" i="11"/>
  <c r="Z15" i="11"/>
  <c r="Z17" i="11"/>
  <c r="Z42" i="10"/>
  <c r="Z37" i="10"/>
  <c r="Z39" i="10"/>
  <c r="Z40" i="10"/>
  <c r="Z35" i="10"/>
  <c r="Z11" i="10"/>
  <c r="Z22" i="10"/>
  <c r="Z12" i="10"/>
  <c r="Z19" i="10"/>
  <c r="Z29" i="10"/>
  <c r="Z30" i="10"/>
  <c r="Z31" i="10"/>
  <c r="Z33" i="10"/>
  <c r="Z14" i="10"/>
  <c r="Z16" i="10"/>
  <c r="Z25" i="10"/>
  <c r="Z17" i="10"/>
  <c r="Z27" i="10"/>
  <c r="Z41" i="10"/>
  <c r="Z6" i="10"/>
  <c r="Z9" i="10"/>
  <c r="Z26" i="10"/>
  <c r="Z44" i="10"/>
  <c r="Z23" i="10"/>
  <c r="Z15" i="10"/>
  <c r="Z36" i="10"/>
  <c r="Z21" i="10"/>
  <c r="Z38" i="10"/>
  <c r="Z28" i="10"/>
  <c r="Z20" i="10"/>
  <c r="Z10" i="10"/>
  <c r="Z7" i="10"/>
  <c r="Z32" i="10"/>
  <c r="Z24" i="10"/>
  <c r="Z18" i="10"/>
  <c r="Z5" i="10"/>
  <c r="Z8" i="10"/>
  <c r="Z13" i="10"/>
  <c r="Z16" i="9"/>
  <c r="Z5" i="9"/>
  <c r="Z17" i="9"/>
  <c r="Z24" i="9"/>
  <c r="Z25" i="9"/>
  <c r="Z20" i="9"/>
  <c r="Z8" i="9"/>
  <c r="Z10" i="9"/>
  <c r="Z21" i="9"/>
  <c r="Z46" i="9"/>
  <c r="Z27" i="9"/>
  <c r="Z12" i="9"/>
  <c r="Z9" i="9"/>
  <c r="Z13" i="9"/>
  <c r="Z29" i="9"/>
  <c r="Z23" i="9"/>
  <c r="Z43" i="9"/>
  <c r="Z28" i="9"/>
  <c r="Z14" i="9"/>
  <c r="Z6" i="9"/>
  <c r="Y11" i="9"/>
  <c r="Q11" i="9"/>
  <c r="Z11" i="9" s="1"/>
  <c r="P11" i="9"/>
  <c r="Y40" i="9"/>
  <c r="Q40" i="9"/>
  <c r="Z40" i="9" s="1"/>
  <c r="P40" i="9"/>
  <c r="P7" i="9"/>
  <c r="P15" i="9"/>
  <c r="P22" i="9"/>
  <c r="P19" i="9"/>
  <c r="P26" i="9"/>
  <c r="P37" i="9"/>
  <c r="P34" i="9"/>
  <c r="P32" i="9"/>
  <c r="P33" i="9"/>
  <c r="P35" i="9"/>
  <c r="P30" i="9"/>
  <c r="P31" i="9"/>
  <c r="P38" i="9"/>
  <c r="P39" i="9"/>
  <c r="P42" i="9"/>
  <c r="P41" i="9"/>
  <c r="P44" i="9"/>
  <c r="P45" i="9"/>
  <c r="Y15" i="9"/>
  <c r="Q15" i="9"/>
  <c r="Z15" i="9" s="1"/>
  <c r="Y19" i="9"/>
  <c r="Q19" i="9"/>
  <c r="Z19" i="9" s="1"/>
  <c r="Y41" i="9" l="1"/>
  <c r="Q41" i="9"/>
  <c r="Z41" i="9" s="1"/>
  <c r="Y39" i="9"/>
  <c r="Q39" i="9"/>
  <c r="Z39" i="9" s="1"/>
  <c r="Y7" i="9"/>
  <c r="V7" i="9"/>
  <c r="Q7" i="9"/>
  <c r="Y37" i="9"/>
  <c r="Q37" i="9"/>
  <c r="Z37" i="9" s="1"/>
  <c r="Y45" i="9"/>
  <c r="Q45" i="9"/>
  <c r="Z45" i="9" s="1"/>
  <c r="Y44" i="9"/>
  <c r="Q44" i="9"/>
  <c r="Z44" i="9" s="1"/>
  <c r="Y42" i="9"/>
  <c r="Q42" i="9"/>
  <c r="Z42" i="9" s="1"/>
  <c r="Y38" i="9"/>
  <c r="Q38" i="9"/>
  <c r="Y31" i="9"/>
  <c r="Q31" i="9"/>
  <c r="Z31" i="9" s="1"/>
  <c r="Y30" i="9"/>
  <c r="Q30" i="9"/>
  <c r="Z30" i="9" s="1"/>
  <c r="Y35" i="9"/>
  <c r="Q35" i="9"/>
  <c r="Z35" i="9" s="1"/>
  <c r="Y33" i="9"/>
  <c r="Q33" i="9"/>
  <c r="Z33" i="9" s="1"/>
  <c r="Y32" i="9"/>
  <c r="Q32" i="9"/>
  <c r="Y34" i="9"/>
  <c r="Q34" i="9"/>
  <c r="Z34" i="9" s="1"/>
  <c r="Y26" i="9"/>
  <c r="Q26" i="9"/>
  <c r="Z26" i="9" s="1"/>
  <c r="Y22" i="9"/>
  <c r="Q22" i="9"/>
  <c r="AA20" i="7"/>
  <c r="V20" i="7"/>
  <c r="Y20" i="7"/>
  <c r="Q20" i="7"/>
  <c r="P20" i="7"/>
  <c r="AA26" i="7"/>
  <c r="V26" i="7"/>
  <c r="Y26" i="7"/>
  <c r="Q26" i="7"/>
  <c r="P26" i="7"/>
  <c r="AA21" i="7"/>
  <c r="V21" i="7"/>
  <c r="Y21" i="7"/>
  <c r="Q21" i="7"/>
  <c r="P21" i="7"/>
  <c r="Z32" i="9" l="1"/>
  <c r="Z7" i="9"/>
  <c r="Z22" i="9"/>
  <c r="Z38" i="9"/>
  <c r="Z20" i="7"/>
  <c r="Z26" i="7"/>
  <c r="Z21" i="7"/>
  <c r="V15" i="7"/>
  <c r="AA15" i="7"/>
  <c r="P34" i="7"/>
  <c r="Q34" i="7"/>
  <c r="V34" i="7"/>
  <c r="Y34" i="7"/>
  <c r="AA34" i="7"/>
  <c r="P35" i="7"/>
  <c r="Q35" i="7"/>
  <c r="V35" i="7"/>
  <c r="Y35" i="7"/>
  <c r="Z35" i="7" s="1"/>
  <c r="AA35" i="7"/>
  <c r="Y15" i="7"/>
  <c r="Q15" i="7"/>
  <c r="P15" i="7"/>
  <c r="Z34" i="7" l="1"/>
  <c r="Z15" i="7"/>
  <c r="Y22" i="7" l="1"/>
  <c r="AA22" i="7"/>
  <c r="V22" i="7"/>
  <c r="Q22" i="7"/>
  <c r="P22" i="7"/>
  <c r="Z22" i="7" l="1"/>
  <c r="V23" i="7"/>
  <c r="AA23" i="7"/>
  <c r="Y23" i="7"/>
  <c r="Q23" i="7"/>
  <c r="P23" i="7"/>
  <c r="P12" i="7"/>
  <c r="Q12" i="7"/>
  <c r="V12" i="7"/>
  <c r="Y12" i="7"/>
  <c r="AA12" i="7"/>
  <c r="H13" i="7"/>
  <c r="Q13" i="7" s="1"/>
  <c r="P13" i="7"/>
  <c r="V13" i="7"/>
  <c r="Y13" i="7"/>
  <c r="AA13" i="7"/>
  <c r="AA33" i="7"/>
  <c r="Y33" i="7"/>
  <c r="V33" i="7"/>
  <c r="Q33" i="7"/>
  <c r="P33" i="7"/>
  <c r="V30" i="7"/>
  <c r="AA30" i="7"/>
  <c r="Y30" i="7"/>
  <c r="Q30" i="7"/>
  <c r="P30" i="7"/>
  <c r="P19" i="7"/>
  <c r="Q19" i="7"/>
  <c r="V19" i="7"/>
  <c r="Y19" i="7"/>
  <c r="AA19" i="7"/>
  <c r="V16" i="7"/>
  <c r="AA16" i="7"/>
  <c r="Y16" i="7"/>
  <c r="Q16" i="7"/>
  <c r="P16" i="7"/>
  <c r="Y27" i="7"/>
  <c r="AA27" i="7"/>
  <c r="V27" i="7"/>
  <c r="Q27" i="7"/>
  <c r="P27" i="7"/>
  <c r="V24" i="7"/>
  <c r="AA24" i="7"/>
  <c r="Y24" i="7"/>
  <c r="Q24" i="7"/>
  <c r="P24" i="7"/>
  <c r="V32" i="7"/>
  <c r="AA32" i="7"/>
  <c r="Y32" i="7"/>
  <c r="Q32" i="7"/>
  <c r="P32" i="7"/>
  <c r="Q31" i="7"/>
  <c r="Q29" i="7"/>
  <c r="Q28" i="7"/>
  <c r="Q25" i="7"/>
  <c r="Q17" i="7"/>
  <c r="Q11" i="7"/>
  <c r="Q10" i="7"/>
  <c r="Q9" i="7"/>
  <c r="Q8" i="7"/>
  <c r="Q6" i="7"/>
  <c r="P6" i="7"/>
  <c r="P5" i="7"/>
  <c r="P31" i="7"/>
  <c r="P29" i="7"/>
  <c r="P28" i="7"/>
  <c r="P25" i="7"/>
  <c r="P17" i="7"/>
  <c r="P11" i="7"/>
  <c r="P10" i="7"/>
  <c r="P9" i="7"/>
  <c r="P8" i="7"/>
  <c r="P7" i="7"/>
  <c r="Y25" i="7"/>
  <c r="AA25" i="7"/>
  <c r="V25" i="7"/>
  <c r="AA31" i="7"/>
  <c r="AA29" i="7"/>
  <c r="AA28" i="7"/>
  <c r="AA17" i="7"/>
  <c r="AA11" i="7"/>
  <c r="AA10" i="7"/>
  <c r="AA9" i="7"/>
  <c r="V29" i="7"/>
  <c r="Y29" i="7"/>
  <c r="AA8" i="7"/>
  <c r="Y11" i="7"/>
  <c r="Y9" i="7"/>
  <c r="Y8" i="7"/>
  <c r="Y10" i="7"/>
  <c r="Y7" i="7"/>
  <c r="Y31" i="7"/>
  <c r="Y28" i="7"/>
  <c r="Y17" i="7"/>
  <c r="V31" i="7"/>
  <c r="V28" i="7"/>
  <c r="V17" i="7"/>
  <c r="V11" i="7"/>
  <c r="V9" i="7"/>
  <c r="V8" i="7"/>
  <c r="V10" i="7"/>
  <c r="H7" i="7"/>
  <c r="Q7" i="7" s="1"/>
  <c r="Q5" i="7"/>
  <c r="U14" i="1"/>
  <c r="W14" i="1"/>
  <c r="W16" i="1"/>
  <c r="W15" i="1"/>
  <c r="W13" i="1"/>
  <c r="W12" i="1"/>
  <c r="W11" i="1"/>
  <c r="W10" i="1"/>
  <c r="W9" i="1"/>
  <c r="W8" i="1"/>
  <c r="U13" i="1"/>
  <c r="U10" i="1"/>
  <c r="P13" i="1"/>
  <c r="U12" i="1"/>
  <c r="J12" i="1"/>
  <c r="P12" i="1" s="1"/>
  <c r="U9" i="1"/>
  <c r="P9" i="1"/>
  <c r="U8" i="1"/>
  <c r="U16" i="1"/>
  <c r="U15" i="1"/>
  <c r="U11" i="1"/>
  <c r="P21" i="1"/>
  <c r="P20" i="1"/>
  <c r="P19" i="1"/>
  <c r="P17" i="1"/>
  <c r="P16" i="1"/>
  <c r="P14" i="1"/>
  <c r="P15" i="1"/>
  <c r="P11" i="1"/>
  <c r="P10" i="1"/>
  <c r="P8" i="1"/>
  <c r="P6" i="1"/>
  <c r="P5" i="1"/>
  <c r="O21" i="1"/>
  <c r="J18" i="1"/>
  <c r="P18" i="1" s="1"/>
  <c r="O11" i="1"/>
  <c r="O10" i="1"/>
  <c r="J7" i="1"/>
  <c r="O7" i="1" s="1"/>
  <c r="O17" i="1"/>
  <c r="O20" i="1"/>
  <c r="O16" i="1"/>
  <c r="H30" i="2"/>
  <c r="H29" i="2"/>
  <c r="H28" i="2"/>
  <c r="H27" i="2"/>
  <c r="H26" i="2"/>
  <c r="H25" i="2"/>
  <c r="H24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Z12" i="7" l="1"/>
  <c r="Z13" i="7"/>
  <c r="Z23" i="7"/>
  <c r="Z19" i="7"/>
  <c r="Z33" i="7"/>
  <c r="Z30" i="7"/>
  <c r="Z16" i="7"/>
  <c r="Z27" i="7"/>
  <c r="Z11" i="7"/>
  <c r="Z9" i="7"/>
  <c r="Z24" i="7"/>
  <c r="Z32" i="7"/>
  <c r="Z25" i="7"/>
  <c r="Z8" i="7"/>
  <c r="Z10" i="7"/>
  <c r="Z28" i="7"/>
  <c r="Z31" i="7"/>
  <c r="Z29" i="7"/>
  <c r="Z17" i="7"/>
  <c r="V14" i="1"/>
  <c r="V13" i="1"/>
  <c r="V10" i="1"/>
  <c r="V9" i="1"/>
  <c r="V12" i="1"/>
  <c r="O12" i="1"/>
  <c r="V16" i="1"/>
  <c r="V11" i="1"/>
  <c r="V15" i="1"/>
  <c r="P7" i="1"/>
  <c r="V8" i="1"/>
  <c r="O1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47E3F3-135C-9749-B422-EAC830415BDA}" name="cost_summary2" type="6" refreshedVersion="8" background="1" saveData="1">
    <textPr codePage="10000" sourceFile="/Users/pietro/code/Glaukopis/SFT/test/responses/cost_summary.tsv">
      <textFields>
        <textField/>
      </textFields>
    </textPr>
  </connection>
  <connection id="2" xr16:uid="{1A78E00F-3DA1-0E44-86F9-F9C71F83A9A1}" name="Untitled" type="6" refreshedVersion="8" background="1" saveData="1">
    <textPr sourceFile="/Users/pietro/Library/CloudStorage/OneDrive-athenasoftwaregroup.com/Athena/R&amp;D/Glaukopis/results/Untitled.txt" tab="0" delimiter="|">
      <textFields count="20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<sst xmlns="http://schemas.openxmlformats.org/spreadsheetml/2006/main" count="1739" uniqueCount="616">
  <si>
    <t>Model</t>
  </si>
  <si>
    <t>Type</t>
  </si>
  <si>
    <t>CKT (Accuracy)</t>
  </si>
  <si>
    <t>ATE (Accuracy)</t>
  </si>
  <si>
    <t>RCM (Accuracy)</t>
  </si>
  <si>
    <t>RMS (F1-score)</t>
  </si>
  <si>
    <t>VSP (Accracy)</t>
  </si>
  <si>
    <t>TAA (Accuracy)</t>
  </si>
  <si>
    <t>Combined</t>
  </si>
  <si>
    <t>CKT: CTI Knowledge Test (MCQ)</t>
  </si>
  <si>
    <t>ATE: Attack Technique Enumeration</t>
  </si>
  <si>
    <t>RCM: Root Cause Mapping</t>
  </si>
  <si>
    <t>RMS: Risk Mitigation Strategy</t>
  </si>
  <si>
    <t>VSP: Vulnerability Severity Prediction</t>
  </si>
  <si>
    <t>TAA: Threat Actor Attribution</t>
  </si>
  <si>
    <t>gemini-3-pro-preview</t>
  </si>
  <si>
    <t>gpt-5.2-high</t>
  </si>
  <si>
    <t>GPT-5</t>
  </si>
  <si>
    <t>DeepSeek-v3.2-exp-hf</t>
  </si>
  <si>
    <t>gemini-2.5-flash</t>
  </si>
  <si>
    <t>athena-cti-sft-llama31-8b-abaligned</t>
  </si>
  <si>
    <t>SFT</t>
  </si>
  <si>
    <t>meta-llama_Llama-3.1-8B</t>
  </si>
  <si>
    <t>athena-cti-sft-llama31-8b-abaligned-v4</t>
  </si>
  <si>
    <t>Qwen3-4B</t>
  </si>
  <si>
    <t xml:space="preserve">athena-cti-sft-llama31-8b-mcqfixed </t>
  </si>
  <si>
    <t>fdtn-ai_Foundation-Sec-8B</t>
  </si>
  <si>
    <t>athena-cti-sft-llama31-8b-abaligned-v3</t>
  </si>
  <si>
    <t>athena-cti-cpt-llama31-8b-v1</t>
  </si>
  <si>
    <t>meta-llama_Llama-3.1-8B (vLLM)</t>
  </si>
  <si>
    <t>gpt-5</t>
  </si>
  <si>
    <t>gemini-2.5-pro</t>
  </si>
  <si>
    <t>gpt-5.2</t>
  </si>
  <si>
    <t>GPT-4o</t>
  </si>
  <si>
    <t>Minerva-Llama8B</t>
  </si>
  <si>
    <t>fdtn-ai_Foundation-Sec-8B-Reasoning</t>
  </si>
  <si>
    <t>GPT-4</t>
  </si>
  <si>
    <t>meta-llama_Llama-3.3-70b-Instruct</t>
  </si>
  <si>
    <t>meta-llama_Meta-Llama-3-70b-Instruct</t>
  </si>
  <si>
    <t>Llama-Primus-Merged</t>
  </si>
  <si>
    <t>Qwen3.5-9B</t>
  </si>
  <si>
    <t>Qwen3-14B</t>
  </si>
  <si>
    <t>Qwen2.5-14B</t>
  </si>
  <si>
    <t>Qwen3-8B</t>
  </si>
  <si>
    <t>Llama 3.1-8B</t>
  </si>
  <si>
    <t>CyberMetric-80 (Accuracy %)</t>
  </si>
  <si>
    <t>CyberMetric-500 (Accuracy %)</t>
  </si>
  <si>
    <t>CyberMetric-2000 (Accuracy %)</t>
  </si>
  <si>
    <t>CyberMetric-10000 (Accuracy %)</t>
  </si>
  <si>
    <t>GPT-4-turbo</t>
  </si>
  <si>
    <t>Llama-3-70b-instruct</t>
  </si>
  <si>
    <t>Gemini-2.5-flash</t>
  </si>
  <si>
    <t>CTI-MCQ (Acc %)</t>
  </si>
  <si>
    <t>CTI-RCM (Acc %)</t>
  </si>
  <si>
    <t>CTI-VSP (MAD)</t>
  </si>
  <si>
    <t>CTI-ATE (F1-Macro)</t>
  </si>
  <si>
    <t>CTI-TAA (Correct Acc %)</t>
  </si>
  <si>
    <t>CTI-TAA (Plausible Acc %)</t>
  </si>
  <si>
    <t>MCQ: Multiple Choice Questions</t>
  </si>
  <si>
    <t>ATE: Attack Technique Extraction</t>
  </si>
  <si>
    <t>Paper Results</t>
  </si>
  <si>
    <t>Results Reproduced</t>
  </si>
  <si>
    <t>-</t>
  </si>
  <si>
    <t>MMLU (Accuracy)</t>
  </si>
  <si>
    <t>GLUE</t>
  </si>
  <si>
    <t>SUPER GLUE</t>
  </si>
  <si>
    <t>cola (mathews_correlation)</t>
  </si>
  <si>
    <t>sst-2 (Acc)</t>
  </si>
  <si>
    <t>mrpc (Acc/F1)</t>
  </si>
  <si>
    <t>qqp (Acc/F1)</t>
  </si>
  <si>
    <t>mnli-matched (Acc)</t>
  </si>
  <si>
    <t>mnli-mismatched (Acc)</t>
  </si>
  <si>
    <t>qnli (Acc)</t>
  </si>
  <si>
    <t>rte (Acc)</t>
  </si>
  <si>
    <t>wnli (Acc)</t>
  </si>
  <si>
    <t>sts-b (Pearson/Spearman)</t>
  </si>
  <si>
    <t>boolq (Accuracy )</t>
  </si>
  <si>
    <t>cb (Accuracy/F1-Score)</t>
  </si>
  <si>
    <t>copa (Accuracy)</t>
  </si>
  <si>
    <t>record (F1-Score/Exact Match)</t>
  </si>
  <si>
    <t>rte (Accuracy)</t>
  </si>
  <si>
    <t>wic (Accuracy)</t>
  </si>
  <si>
    <t>wsc (Accuracy)</t>
  </si>
  <si>
    <t>wsc.fixed (Accuracy)</t>
  </si>
  <si>
    <t>0.4485 / 0.3362</t>
  </si>
  <si>
    <t>0.6612 / 0.1668</t>
  </si>
  <si>
    <t>0.8777 / 0.8827</t>
  </si>
  <si>
    <t>0.91 / 0.8118</t>
  </si>
  <si>
    <t>0.78 / 0.7419</t>
  </si>
  <si>
    <t>0.7941 / 0.8439</t>
  </si>
  <si>
    <t>0.8418 / 0.7953</t>
  </si>
  <si>
    <t>0.8419 / 0.8609</t>
  </si>
  <si>
    <t>0.9464 / 0.89</t>
  </si>
  <si>
    <t>0.7692 / 0.729</t>
  </si>
  <si>
    <t>0.6421 / 0.6798</t>
  </si>
  <si>
    <t>0.7794 / 0.6385</t>
  </si>
  <si>
    <t>0.827 / 0.83</t>
  </si>
  <si>
    <t>0.7678 / 0.7</t>
  </si>
  <si>
    <t>0.8 / 0.7694</t>
  </si>
  <si>
    <t>0.7328 / 0.7947</t>
  </si>
  <si>
    <t>0.8269 / 0.7377</t>
  </si>
  <si>
    <t>0.8849 / 0.8865</t>
  </si>
  <si>
    <t>0.7321 / 0.6789</t>
  </si>
  <si>
    <t>0.8627 / 0.8186</t>
  </si>
  <si>
    <t xml:space="preserve">Model </t>
  </si>
  <si>
    <t>Task</t>
  </si>
  <si>
    <t>GPU / $ per hour</t>
  </si>
  <si>
    <t>Time taken</t>
  </si>
  <si>
    <t>GPU per hour * time</t>
  </si>
  <si>
    <t>Cost Per Task</t>
  </si>
  <si>
    <t>Time stamp (DD-MM-YYYY)</t>
  </si>
  <si>
    <t>Qwen 3-4B</t>
  </si>
  <si>
    <t>Athena-ATE</t>
  </si>
  <si>
    <t>L4 / 0.39</t>
  </si>
  <si>
    <t>6 min (0.1hr)</t>
  </si>
  <si>
    <t>0.39 * 0.1</t>
  </si>
  <si>
    <t>Athena-RCM</t>
  </si>
  <si>
    <t>1 h 32 min (1.533 h)</t>
  </si>
  <si>
    <t>0.39 * 1.533</t>
  </si>
  <si>
    <t>Athena-RMS</t>
  </si>
  <si>
    <t>12.5 min (0.2083h)</t>
  </si>
  <si>
    <t>0.39 * 0.2083</t>
  </si>
  <si>
    <t>Athena-TAA</t>
  </si>
  <si>
    <t>1 min (0.0166)</t>
  </si>
  <si>
    <t>0.39 * 0.0166</t>
  </si>
  <si>
    <t>Athena-VSP</t>
  </si>
  <si>
    <t>11 h 49 min (11.816 h)</t>
  </si>
  <si>
    <t>0.39 * 11.816</t>
  </si>
  <si>
    <t>Athena-MCQ</t>
  </si>
  <si>
    <t>14 h 35 min (14.58 h)</t>
  </si>
  <si>
    <t>0.39 * 14.58</t>
  </si>
  <si>
    <t>Total Cost of Qwen3-4B on Athena Bench: 10.99 USD</t>
  </si>
  <si>
    <t>Llama-3.1-8B</t>
  </si>
  <si>
    <t>L40 / 1.08</t>
  </si>
  <si>
    <t>19 min (0.317 h)</t>
  </si>
  <si>
    <t>1.08 * 0.317</t>
  </si>
  <si>
    <t>2 h 38 min (2.633 h)</t>
  </si>
  <si>
    <t>1.08 * 2.633</t>
  </si>
  <si>
    <t>37 min (0.617)</t>
  </si>
  <si>
    <t>1.08 * 0.617</t>
  </si>
  <si>
    <t>15 min (0.25 h)</t>
  </si>
  <si>
    <t>1.08 * 0.25</t>
  </si>
  <si>
    <t xml:space="preserve">6 h </t>
  </si>
  <si>
    <t>1.08 * 6</t>
  </si>
  <si>
    <t>6h 43 min</t>
  </si>
  <si>
    <t>1.08 * 6.71</t>
  </si>
  <si>
    <t>Total Cost of Llama-3.1-8B on Athena Bench: 17.855 USD</t>
  </si>
  <si>
    <t>4h 45 min (4.75h)</t>
  </si>
  <si>
    <t>0.39 * 4.75</t>
  </si>
  <si>
    <t>20h 23min (20.3833h)</t>
  </si>
  <si>
    <t>0.39 * 20.3833</t>
  </si>
  <si>
    <t>RTX 5090 / 0.89</t>
  </si>
  <si>
    <t>1h 55 min (1.916h)</t>
  </si>
  <si>
    <t>0.89 * 1.916</t>
  </si>
  <si>
    <t>1h</t>
  </si>
  <si>
    <t>0.89 * 1</t>
  </si>
  <si>
    <t>8h 45 min (8.75h)</t>
  </si>
  <si>
    <t>0.89 * 8.75</t>
  </si>
  <si>
    <t>11h 36m (11.6h)</t>
  </si>
  <si>
    <t>0.89 * 11.6</t>
  </si>
  <si>
    <t>Total Cost of Qwen3-8B on Athena Bench: 30.481 USD</t>
  </si>
  <si>
    <t>L40S / 0.86</t>
  </si>
  <si>
    <t>3 h 53 min (3.883 h)</t>
  </si>
  <si>
    <t>0.86 * 3.883</t>
  </si>
  <si>
    <t>A100 / 1.66</t>
  </si>
  <si>
    <t>10 h 30 min (10.5 h)</t>
  </si>
  <si>
    <t>1.66 * 10.5</t>
  </si>
  <si>
    <t>2h 42 min (2.7 h)</t>
  </si>
  <si>
    <t>1.66 * 2.7</t>
  </si>
  <si>
    <t>32 min (0.533 h)</t>
  </si>
  <si>
    <t>1.66 * 0.533</t>
  </si>
  <si>
    <t>13h 35 min ( 13.583 h)</t>
  </si>
  <si>
    <t>1.66 * 13.583</t>
  </si>
  <si>
    <t>27 h 52 min (27.87 h)</t>
  </si>
  <si>
    <t>0.86 * 27.87</t>
  </si>
  <si>
    <t>Total Cost of Qwen3-14B on Athena Bench: 72.636 USD</t>
  </si>
  <si>
    <t>Llama-3.3-70B</t>
  </si>
  <si>
    <t>2 * A100 / 3.48</t>
  </si>
  <si>
    <t>2 h 20 min (2.333 h)</t>
  </si>
  <si>
    <t>3.48 * 2.33</t>
  </si>
  <si>
    <t>22h 36 min (22.61 h)</t>
  </si>
  <si>
    <t>3.48 * 22.61</t>
  </si>
  <si>
    <t>2h 47min (2.78h)</t>
  </si>
  <si>
    <t>3.48 * 2.78</t>
  </si>
  <si>
    <t>1 h 32 min</t>
  </si>
  <si>
    <t>3.48 * 1.533</t>
  </si>
  <si>
    <t>43 h 40 min</t>
  </si>
  <si>
    <t>3.48 * 43.67</t>
  </si>
  <si>
    <t>40h 25 min</t>
  </si>
  <si>
    <t>3.48 * 40.416</t>
  </si>
  <si>
    <t>Total Cost of Llama-3.3-70B on Athena Bench:  394.432 USD</t>
  </si>
  <si>
    <t>45 min</t>
  </si>
  <si>
    <t>3 h</t>
  </si>
  <si>
    <t>2 h</t>
  </si>
  <si>
    <t>15 min</t>
  </si>
  <si>
    <t>4 h 30 min</t>
  </si>
  <si>
    <t>4 h 45 min</t>
  </si>
  <si>
    <t>Total Cost of Gemini-2.5-flash on Athena Bench:  59.255 USD</t>
  </si>
  <si>
    <t>5 min</t>
  </si>
  <si>
    <t>21 min</t>
  </si>
  <si>
    <t>8 min</t>
  </si>
  <si>
    <t>2 min</t>
  </si>
  <si>
    <t>50 min</t>
  </si>
  <si>
    <t>44 min</t>
  </si>
  <si>
    <t>Total Cost of GPT-4-Turbo on Athena Bench:  95.61 USD</t>
  </si>
  <si>
    <t>Llama-3-70B</t>
  </si>
  <si>
    <t>Llama-3-70b</t>
  </si>
  <si>
    <t>1h 14 min (1.23h)</t>
  </si>
  <si>
    <t>3.48 * 1.23</t>
  </si>
  <si>
    <t xml:space="preserve">12h 10 min (7.17h)  </t>
  </si>
  <si>
    <t>3.48 * 12.1666</t>
  </si>
  <si>
    <t>2h 17 min (2.28h)</t>
  </si>
  <si>
    <t>3.48 * 2.28</t>
  </si>
  <si>
    <t>50 min (0.833h)</t>
  </si>
  <si>
    <t>3.48 * 0.833</t>
  </si>
  <si>
    <t>25h 37min (25.6166h)</t>
  </si>
  <si>
    <t>3.48 * 25.6166</t>
  </si>
  <si>
    <t>20h 15 min (10.25h)</t>
  </si>
  <si>
    <t>3.48 * 20.25</t>
  </si>
  <si>
    <t>Total Cost of Llama-3-70B on Athena Bench:  217 USD</t>
  </si>
  <si>
    <t>GPT-OSS-20B</t>
  </si>
  <si>
    <t>1 * A100 / 1.74</t>
  </si>
  <si>
    <t>6h 38 min (6.63h)</t>
  </si>
  <si>
    <t>1.74 * 6.63</t>
  </si>
  <si>
    <t>24h 6min (24.1h)</t>
  </si>
  <si>
    <t>1.74 * 24.1</t>
  </si>
  <si>
    <t>5h 58min (5.96h)</t>
  </si>
  <si>
    <t>1.74 * 5.966</t>
  </si>
  <si>
    <t>1h 5 min (1.083h)</t>
  </si>
  <si>
    <t>1.74 * 1.083</t>
  </si>
  <si>
    <t xml:space="preserve">33h 38 min (33.63h) </t>
  </si>
  <si>
    <t>1.74 * 33.633</t>
  </si>
  <si>
    <t>31h 56min (31.9333h)</t>
  </si>
  <si>
    <t>1.74 * 31.933</t>
  </si>
  <si>
    <t>Total Cost of GPT-OSS-20B on Athena Bench:  179.829 USD</t>
  </si>
  <si>
    <t>Llama-Primus-Merged (8B)</t>
  </si>
  <si>
    <t>1 * L40S / 0.86</t>
  </si>
  <si>
    <t>18 min (0.3h)</t>
  </si>
  <si>
    <t>0.86  * 0.3</t>
  </si>
  <si>
    <t>2h 33 min (2.55h)</t>
  </si>
  <si>
    <t>0.86 * 2.55</t>
  </si>
  <si>
    <t>37 min (0.61h)</t>
  </si>
  <si>
    <t>0.86 * 0.61</t>
  </si>
  <si>
    <t>12 min (0.2h)</t>
  </si>
  <si>
    <t>0.86 * 0.2</t>
  </si>
  <si>
    <t>5 h 40 min (5.67h)</t>
  </si>
  <si>
    <t>0.86 * 5.67</t>
  </si>
  <si>
    <t>5h 58 min (5.96h)</t>
  </si>
  <si>
    <t>0.86 * 5.96</t>
  </si>
  <si>
    <t>Total Cost of Llama-Primus-Merged (8B) on Athena Bench:  13.152 USD</t>
  </si>
  <si>
    <t>Gemini-3-Pro</t>
  </si>
  <si>
    <t>4h 32 min</t>
  </si>
  <si>
    <t>17h 49 min</t>
  </si>
  <si>
    <t>4h 45 min</t>
  </si>
  <si>
    <t>1h 8 min</t>
  </si>
  <si>
    <t>Total Cost of Gemini-3-Pro on Athena Bench:  313.87 USD</t>
  </si>
  <si>
    <t>Foundation-Sec-8B-Reasoning</t>
  </si>
  <si>
    <t>2h 10 min</t>
  </si>
  <si>
    <t>0.86  * 2.16</t>
  </si>
  <si>
    <t>6h 49 min</t>
  </si>
  <si>
    <t>0.86 * 6.81</t>
  </si>
  <si>
    <t>2h 50 min</t>
  </si>
  <si>
    <t>0.86 * 2.83</t>
  </si>
  <si>
    <t>25 min</t>
  </si>
  <si>
    <t>0.86 * 0.41</t>
  </si>
  <si>
    <t>13h 28 min</t>
  </si>
  <si>
    <t>0.86 * 13.46</t>
  </si>
  <si>
    <t>12h</t>
  </si>
  <si>
    <t>0.86 * 12</t>
  </si>
  <si>
    <t>Total Cost of Foundation-Sec-8B-Reasoning on Athena Bench:  32.4 USD</t>
  </si>
  <si>
    <t>Qwen2.5-14B-Instruct</t>
  </si>
  <si>
    <t>1 * A100 / 1.49</t>
  </si>
  <si>
    <t>24 min</t>
  </si>
  <si>
    <t>1.49 * 0.4</t>
  </si>
  <si>
    <t>2h 12 min</t>
  </si>
  <si>
    <t>1.49 * 2.2</t>
  </si>
  <si>
    <t>41 min</t>
  </si>
  <si>
    <t>1.49 * 0.68</t>
  </si>
  <si>
    <t>7 min</t>
  </si>
  <si>
    <t>1.49 * 0.11</t>
  </si>
  <si>
    <t>8h 10 min</t>
  </si>
  <si>
    <t>1.49 * 8.16</t>
  </si>
  <si>
    <t>6h 32min</t>
  </si>
  <si>
    <t>1.49 * 6.53</t>
  </si>
  <si>
    <t>Total Cost of Qwen2.5-14B-Instruct on Athena Bench:  26.9 USD</t>
  </si>
  <si>
    <t>43 min</t>
  </si>
  <si>
    <t>0.86 * 0.716</t>
  </si>
  <si>
    <t>3h</t>
  </si>
  <si>
    <t>0.86 * 3</t>
  </si>
  <si>
    <t>1 h 2 min</t>
  </si>
  <si>
    <t>0.86 * 1.03</t>
  </si>
  <si>
    <t>16 min</t>
  </si>
  <si>
    <t>0.86 * 0.26</t>
  </si>
  <si>
    <t>6h 39 min</t>
  </si>
  <si>
    <t>0.86 * 6.65</t>
  </si>
  <si>
    <t>4h 29min</t>
  </si>
  <si>
    <t>0.86 * 4.48</t>
  </si>
  <si>
    <t>Total Cost of Minerva-Llama8B on Athena Bench: 13.85 USD</t>
  </si>
  <si>
    <t>CTI-MCQ</t>
  </si>
  <si>
    <t>3h 43 min</t>
  </si>
  <si>
    <t>0.86 * 3.71</t>
  </si>
  <si>
    <t>CTI-RCM</t>
  </si>
  <si>
    <t>1h 25 min</t>
  </si>
  <si>
    <t>0.86 * 1.41</t>
  </si>
  <si>
    <t>CTI-VSP</t>
  </si>
  <si>
    <t>3h 26 min</t>
  </si>
  <si>
    <t>0.86 * 3.43</t>
  </si>
  <si>
    <t>CTI-ATE</t>
  </si>
  <si>
    <t>0.86 * 0.35</t>
  </si>
  <si>
    <t>CTI-TAA</t>
  </si>
  <si>
    <t>Foundation-Sec-8B</t>
  </si>
  <si>
    <t>1h 5min</t>
  </si>
  <si>
    <t>0.86 * 1.08</t>
  </si>
  <si>
    <t>3h 35min</t>
  </si>
  <si>
    <t>0.86 * 3.58</t>
  </si>
  <si>
    <t>5h 56min</t>
  </si>
  <si>
    <t>0.86 * 5.93</t>
  </si>
  <si>
    <t>55 min</t>
  </si>
  <si>
    <t>0.86 * 0.91</t>
  </si>
  <si>
    <t>9h 7 min</t>
  </si>
  <si>
    <t>0.86 * 9.11</t>
  </si>
  <si>
    <t>7h 32min</t>
  </si>
  <si>
    <t>0.86 * 7.53</t>
  </si>
  <si>
    <t>Total Cost of Foundation-Sec-8B on Athena Bench: 24.19 USD</t>
  </si>
  <si>
    <t>GPT-5.2 (reasoning effort = none)</t>
  </si>
  <si>
    <t xml:space="preserve">GPT-5.2 </t>
  </si>
  <si>
    <t>GPT-5.2</t>
  </si>
  <si>
    <t>Total Cost of GPT-5.2 (reasoning effort = none) on Athena Bench: 18.72 USD</t>
  </si>
  <si>
    <t>GPT-5.2 (reasoning effort = high)</t>
  </si>
  <si>
    <t>Total Cost of GPT-5.2 (reasoning effort = high) on Athena Bench:  71.15 USD</t>
  </si>
  <si>
    <t>1 * RTX 6000 Ada / 0.77</t>
  </si>
  <si>
    <t>2h 27min</t>
  </si>
  <si>
    <t>0.77 * 2.45</t>
  </si>
  <si>
    <t>3h 55min</t>
  </si>
  <si>
    <t>0.77 * 3.91</t>
  </si>
  <si>
    <t>2h 53 min</t>
  </si>
  <si>
    <t>0.77 * 2.88</t>
  </si>
  <si>
    <t>56min</t>
  </si>
  <si>
    <t>0.77 * 0.93</t>
  </si>
  <si>
    <t>9h 25min</t>
  </si>
  <si>
    <t>0.77 * 9.41</t>
  </si>
  <si>
    <t>12h 3 min</t>
  </si>
  <si>
    <t>0.77 * 12.05</t>
  </si>
  <si>
    <t>Total Cost of Qwen3.5-9B on Athena Bench:  24.32 USD</t>
  </si>
  <si>
    <t>plausible</t>
  </si>
  <si>
    <t>accurate</t>
  </si>
  <si>
    <t>combined</t>
  </si>
  <si>
    <t>LoRA</t>
  </si>
  <si>
    <t>No</t>
  </si>
  <si>
    <t>NA</t>
  </si>
  <si>
    <t>Model Family</t>
  </si>
  <si>
    <t>Google Gemini</t>
  </si>
  <si>
    <t>OpenAI GPT</t>
  </si>
  <si>
    <t>DeepSeek</t>
  </si>
  <si>
    <t>Meta-Llama</t>
  </si>
  <si>
    <t>Qwen</t>
  </si>
  <si>
    <t>Mistral AI</t>
  </si>
  <si>
    <t>Microsoft Phi</t>
  </si>
  <si>
    <t>INSTRUCT</t>
  </si>
  <si>
    <t>FRONTIER</t>
  </si>
  <si>
    <t>PT-OS</t>
  </si>
  <si>
    <t>Qwen/Qwen2.5-14B-Instruct</t>
  </si>
  <si>
    <t>meta-llama/Meta-Llama-3.1-8B-Instruct</t>
  </si>
  <si>
    <t>mistralai/Mistral-7B-Instruct-v0.3</t>
  </si>
  <si>
    <t>microsoft/phi-4-vllm</t>
  </si>
  <si>
    <t>Qwen/Qwen3-4B-Instruct-2507</t>
  </si>
  <si>
    <t>AB Combined I (TAA Acc)</t>
  </si>
  <si>
    <t>VSP (Accuracy)</t>
  </si>
  <si>
    <t>f1</t>
  </si>
  <si>
    <t>plausible_f1</t>
  </si>
  <si>
    <t>combined_f1</t>
  </si>
  <si>
    <t>gpt-5.5</t>
  </si>
  <si>
    <t>gpt-5.5 (high)</t>
  </si>
  <si>
    <t>asg-ai/athena-cti-sft-llama31-8b-abaligned-v7</t>
  </si>
  <si>
    <t>gemini-3-flash-preview</t>
  </si>
  <si>
    <t>deepseek-ai_DeepSeek-V4-Pro</t>
  </si>
  <si>
    <t>moonshotai_Kimi-K2.6*</t>
  </si>
  <si>
    <t>google_gemma-4-31B-it*</t>
  </si>
  <si>
    <t>CyberSOCEval</t>
  </si>
  <si>
    <t>Threat Intel</t>
  </si>
  <si>
    <t>Malware</t>
  </si>
  <si>
    <t>CyberSOCEval (Accuracy)</t>
  </si>
  <si>
    <t>Combined (acc)</t>
  </si>
  <si>
    <t>AthenaBench Total Score (Avg)</t>
  </si>
  <si>
    <t>AthenaBench</t>
  </si>
  <si>
    <t>Total Score (Avg)</t>
  </si>
  <si>
    <t>**</t>
  </si>
  <si>
    <t>acc</t>
  </si>
  <si>
    <t>avg</t>
  </si>
  <si>
    <t>asg-ai/athena-cti-sft-qwen25-14b-abaligned-v7</t>
  </si>
  <si>
    <t>Blocked by provider as a security guardrail</t>
  </si>
  <si>
    <t>*</t>
  </si>
  <si>
    <t>unreliable run with many errors</t>
  </si>
  <si>
    <t>Weighted Avg Total Score</t>
  </si>
  <si>
    <t>^</t>
  </si>
  <si>
    <t>too costly to run</t>
  </si>
  <si>
    <t>gemini-3-pro-preview^</t>
  </si>
  <si>
    <t>gpt-5.5**</t>
  </si>
  <si>
    <t>google/gemma-4-31B-it*</t>
  </si>
  <si>
    <t>CyberMetric</t>
  </si>
  <si>
    <t>2000 (acc)</t>
  </si>
  <si>
    <t>10000 (acc)</t>
  </si>
  <si>
    <t>Avg</t>
  </si>
  <si>
    <t>asg-ai/athena-cti-sft-qwen25-32b-abaligned-v7</t>
  </si>
  <si>
    <t>asg-ai/minerva-llama3.1-8b</t>
  </si>
  <si>
    <t>RL</t>
  </si>
  <si>
    <t>ftdn-ai/Foundation-Sec-8B-Instruct</t>
  </si>
  <si>
    <t>asg-ai_athena-cti-sft-llama31-8b-abaligned-v8 (small)</t>
  </si>
  <si>
    <t>AB Avg II (Comb)</t>
  </si>
  <si>
    <t>AB Avg I (Acc)</t>
  </si>
  <si>
    <t>asg-ai/athena-cti-sft-qwen25-14b-abaligned-v8-vllm</t>
  </si>
  <si>
    <t>asg-ai/athena-cti-sft-qwen25-14b-abaligned-v81</t>
  </si>
  <si>
    <t>asg-ai/athena-cti-sft-qwen25-14b-abaligned-v9</t>
  </si>
  <si>
    <t>Qwen/Qwen2.5-32B-Instruct</t>
  </si>
  <si>
    <t>PT-INSTRUCT</t>
  </si>
  <si>
    <t>Qwen/Qwen3-32B (thinking)</t>
  </si>
  <si>
    <t>asg-ai/athena-cti-sft-qwen25-14b-abaligned-v10</t>
  </si>
  <si>
    <t>Qwen/Qwen3-32B (non-thinking)</t>
  </si>
  <si>
    <t>asg-ai/athena-cti-sft-qwen25-14b-v11</t>
  </si>
  <si>
    <t xml:space="preserve">asg-ai/athena-cti-sft-qwen25-14b-v12 </t>
  </si>
  <si>
    <t>Threat Actor Attribution (Accuracy)</t>
  </si>
  <si>
    <t>TAA Classic</t>
  </si>
  <si>
    <t>TAA Canonical</t>
  </si>
  <si>
    <t>deepseek-ai/DeepSeek-V3.1-Terminus</t>
  </si>
  <si>
    <t>deepseek-ai/DeepSeek-V4-Pro</t>
  </si>
  <si>
    <t>deepseek-ai/DeepSeek-v3.2-Exp</t>
  </si>
  <si>
    <t>asg-ai/athena-cti-sft-qwen25-14b-v13</t>
  </si>
  <si>
    <t>asg-ai/athena-cti-sft-qwen25-14b-v14p1-ab</t>
  </si>
  <si>
    <t>**Blocked by provider as a security guardrail</t>
  </si>
  <si>
    <t>^too costly to run</t>
  </si>
  <si>
    <t>*rate limiting in place, may affect reliability of results</t>
  </si>
  <si>
    <t>asg-ai/athena-cti-sft-qwen25-14b-v14p1-rms</t>
  </si>
  <si>
    <t>asg-ai/athena-cti-sft-qwen25-14b-v14p1-taa</t>
  </si>
  <si>
    <t>asg-ai/athena-cti-sft-qwen25-14b-v14p1</t>
  </si>
  <si>
    <t>asg-ai/athena-cti-sft-qwen25-14b-v12-plus-taa</t>
  </si>
  <si>
    <t>asg-ai/athena-cti-sft-qwen25-14b-v16</t>
  </si>
  <si>
    <t>asg-ai/athena-cti-sft-qwen25-14b-v17</t>
  </si>
  <si>
    <t>asg-ai/athena-cti-sft-qwen25-14b-v17-1</t>
  </si>
  <si>
    <t>asg-ai/athena-cti-sft-qwen25-14b-v18-core</t>
  </si>
  <si>
    <t>asg-ai/athena-cti-sft-qwen25-14b-v18-core-plus-taa</t>
  </si>
  <si>
    <t>asg-ai/athena-cti-sft-qwen25-14b-v18-core-plus-taa-cse</t>
  </si>
  <si>
    <t>asg-ai/athena-cti-sft-qwen25-14b-v18-1-core</t>
  </si>
  <si>
    <t>asg-ai/athena-cti-sft-qwen25-14b-v18-1-taa</t>
  </si>
  <si>
    <t>asg-ai/athena-cti-sft-qwen25-14b-v18-1-cse</t>
  </si>
  <si>
    <t>asg-ai/athena-cti-sft-qwen25-14b-v18-1-cse-rms</t>
  </si>
  <si>
    <t>asg-ai/athena-cti-sft-qwen25-14b-v18-2</t>
  </si>
  <si>
    <t>asg-ai/athena-cti-sft-qwen25-14b-v18-2-1</t>
  </si>
  <si>
    <t>asg-ai/athena-cti-sft-qwen25-14b-v18-2-2</t>
  </si>
  <si>
    <t>asg-ai/athena-cti-sft-qwen25-14b-v19-core</t>
  </si>
  <si>
    <t>asg-ai/athena-cti-sft-qwen25-14b-v19-taa</t>
  </si>
  <si>
    <t>asg-ai/athena-cti-sft-qwen25-14b-v19-cse</t>
  </si>
  <si>
    <t>asg-ai/athena-cti-sft-qwen25-14b-v19-recalibrate</t>
  </si>
  <si>
    <t>asg-ai/athena-cti-sft-qwen25-14b-v19-recalibrate-v18p2mix</t>
  </si>
  <si>
    <t>asg-ai/athena-cti-sft-qwen25-14b-v20-core</t>
  </si>
  <si>
    <t>asg-ai/athena-cti-sft-qwen25-14b-v20-taa</t>
  </si>
  <si>
    <t>asg-ai/athena-cti-sft-qwen25-14b-v20-cse</t>
  </si>
  <si>
    <t>asg-ai/athena-cti-sft-qwen25-14b-v20-recalibrate</t>
  </si>
  <si>
    <t>asg-ai/athena-cti-sft-qwen25-14b-v21-core</t>
  </si>
  <si>
    <t>asg-ai/athena-cti-sft-qwen25-14b-v21-taa</t>
  </si>
  <si>
    <t>asg-ai/athena-cti-sft-qwen25-14b-v21-cse</t>
  </si>
  <si>
    <t>asg-ai/athena-cti-sft-qwen25-14b-v21-recalibrate</t>
  </si>
  <si>
    <t>asg-ai/athena-cti-sft-llama31-8b-v21-core</t>
  </si>
  <si>
    <t>asg-ai/athena-cti-sft-llama31-8b-v21-taa</t>
  </si>
  <si>
    <t>asg-ai/athena-cti-sft-llama31-8b-v21-cse</t>
  </si>
  <si>
    <t>asg-ai/athena-cti-sft-llama31-8b-v21-recalibrate</t>
  </si>
  <si>
    <t>asg-ai/athena-cti-sft-foundation-8b-v21-core</t>
  </si>
  <si>
    <t>Qwen/Qwen3-30B-A3B-Instruct-2507</t>
  </si>
  <si>
    <t>asg-ai/athena-cti-sft-foundation-8b-v21-taa</t>
  </si>
  <si>
    <t>Qwen/Qwen3-30B-A3B-Instruct-2507 (non-thinking)</t>
  </si>
  <si>
    <t>Qwen/Qwen3-30B-A3B-Instruct-2507 (thinking)</t>
  </si>
  <si>
    <t>asg-ai/athena-cti-sft-foundation-8b-v21-cse</t>
  </si>
  <si>
    <t>asg-ai/athena-cti-sft-foundation-8b-v21-recalibrate</t>
  </si>
  <si>
    <t>mistralai/Mistral-Small-3.2-24B-Instruct-2506</t>
  </si>
  <si>
    <t>asg-ai/athena-cti-sft-qwen25-32b-v21-recalibrate</t>
  </si>
  <si>
    <t>asg-ai/athena-cti-sft-qwen25-32b-v21-core</t>
  </si>
  <si>
    <t>asg-ai/athena-cti-sft-qwen25-32b-v21-taa</t>
  </si>
  <si>
    <t>asg-ai/athena-cti-sft-qwen25-32b-v21-cse</t>
  </si>
  <si>
    <t>asg-ai/athena-cti-sft-qwen25-32b-v21-recal-32b</t>
  </si>
  <si>
    <t>Qwen/Qwen3-30B-A3B-Thinking-2507</t>
  </si>
  <si>
    <t>asg-ai/athena-cti-sft-qwen3-30b-a3b-thinking-2507-v21-recal-32b</t>
  </si>
  <si>
    <t>asg-ai/athena-cti-sft-qwen3-30b-a3b-thinking-2507-v21-core</t>
  </si>
  <si>
    <t>asg-ai/athena-cti-sft-qwen3-30b-a3b-thinking-2507-v21-taa</t>
  </si>
  <si>
    <t>gpt-5.2 (effort=high)</t>
  </si>
  <si>
    <t>Avg (combined)</t>
  </si>
  <si>
    <t>asg-ai/athena-cti-sft-qwen3-30b-a3b-thinking-2507-v21-recalibrate</t>
  </si>
  <si>
    <t>MMLU-Pro (accuracy)</t>
  </si>
  <si>
    <t xml:space="preserve">asg-ai/athena-cti-sft-qwen3-30b-a3b-thinking-2507-v21-cse </t>
  </si>
  <si>
    <t>gpt-5.2(reasoning=default[medium])</t>
  </si>
  <si>
    <t>Avg CTI Test Score</t>
  </si>
  <si>
    <t>Avg CTI Benchmark Score</t>
  </si>
  <si>
    <t xml:space="preserve">Avg Total Test Score (w MMLU Pro) </t>
  </si>
  <si>
    <t>law</t>
  </si>
  <si>
    <t>math</t>
  </si>
  <si>
    <t>other</t>
  </si>
  <si>
    <t>Count</t>
  </si>
  <si>
    <t xml:space="preserve"> model </t>
  </si>
  <si>
    <t xml:space="preserve"> biolog </t>
  </si>
  <si>
    <t xml:space="preserve"> busine </t>
  </si>
  <si>
    <t xml:space="preserve"> chemis </t>
  </si>
  <si>
    <t xml:space="preserve"> comput </t>
  </si>
  <si>
    <t xml:space="preserve"> econom </t>
  </si>
  <si>
    <t xml:space="preserve"> engine </t>
  </si>
  <si>
    <t xml:space="preserve"> health </t>
  </si>
  <si>
    <t xml:space="preserve"> histor </t>
  </si>
  <si>
    <t xml:space="preserve"> law </t>
  </si>
  <si>
    <t xml:space="preserve"> math </t>
  </si>
  <si>
    <t xml:space="preserve"> other </t>
  </si>
  <si>
    <t xml:space="preserve"> philos </t>
  </si>
  <si>
    <t xml:space="preserve"> physic </t>
  </si>
  <si>
    <t xml:space="preserve"> psycho </t>
  </si>
  <si>
    <t xml:space="preserve"> N </t>
  </si>
  <si>
    <t xml:space="preserve"> overall </t>
  </si>
  <si>
    <t xml:space="preserve"> parse% </t>
  </si>
  <si>
    <t>---</t>
  </si>
  <si>
    <t xml:space="preserve"> Qwen_Qwen2.5-14B-Instruct </t>
  </si>
  <si>
    <t xml:space="preserve"> Qwen_Qwen2.5-32B-Instruct </t>
  </si>
  <si>
    <t xml:space="preserve"> asg-ai_athena-cti-sft-qwen3-30b-a3b-thinking-2507-v21-cse </t>
  </si>
  <si>
    <t xml:space="preserve"> athena-cti-sft-foundation-8b-v21-core-vllm </t>
  </si>
  <si>
    <t xml:space="preserve"> athena-cti-sft-foundation-8b-v21-cse-vllm </t>
  </si>
  <si>
    <t xml:space="preserve"> athena-cti-sft-foundation-8b-v21-taa-vllm </t>
  </si>
  <si>
    <t xml:space="preserve"> athena-cti-sft-llama31-8b-v21-core-vllm </t>
  </si>
  <si>
    <t xml:space="preserve"> athena-cti-sft-llama31-8b-v21-cse-vllm </t>
  </si>
  <si>
    <t xml:space="preserve"> athena-cti-sft-llama31-8b-v21-recalibrate-vllm </t>
  </si>
  <si>
    <t xml:space="preserve"> athena-cti-sft-llama31-8b-v21-taa-vllm </t>
  </si>
  <si>
    <t xml:space="preserve"> athena-cti-sft-qwen25-14b-v21-core-vllm </t>
  </si>
  <si>
    <t xml:space="preserve"> athena-cti-sft-qwen25-14b-v21-recalibrate-vllm </t>
  </si>
  <si>
    <t xml:space="preserve"> athena-cti-sft-qwen25-14b-v21-taa-vllm </t>
  </si>
  <si>
    <t xml:space="preserve"> athena-cti-sft-qwen25-32b-v21-core-vllm </t>
  </si>
  <si>
    <t xml:space="preserve"> athena-cti-sft-qwen25-32b-v21-cse-vllm </t>
  </si>
  <si>
    <t xml:space="preserve"> athena-cti-sft-qwen25-32b-v21-recal-32b-vllm </t>
  </si>
  <si>
    <t xml:space="preserve"> athena-cti-sft-qwen25-32b-v21-recalibrate-vllm </t>
  </si>
  <si>
    <t xml:space="preserve"> athena-cti-sft-qwen25-32b-v21-taa-vllm </t>
  </si>
  <si>
    <t xml:space="preserve"> athena-cti-sft-qwen3-30b-a3b-thinking-2507-v21-core-no-think-vllm </t>
  </si>
  <si>
    <t xml:space="preserve"> athena-cti-sft-qwen3-30b-a3b-thinking-2507-v21-cse-vllm </t>
  </si>
  <si>
    <t xml:space="preserve"> athena-cti-sft-qwen3-30b-a3b-thinking-2507-v21-recal-32b-no-think-vllm </t>
  </si>
  <si>
    <t xml:space="preserve"> athena-cti-sft-qwen3-30b-a3b-thinking-2507-v21-recalibrate-no-think-vllm </t>
  </si>
  <si>
    <t xml:space="preserve"> athena-cti-sft-qwen3-30b-a3b-thinking-2507-v21-taa-no-think-vllm </t>
  </si>
  <si>
    <t xml:space="preserve"> deepseek-v3.1-terminus-hf </t>
  </si>
  <si>
    <t xml:space="preserve">   ‚Äî   </t>
  </si>
  <si>
    <t xml:space="preserve"> deepseek-v3.2-exp-hf </t>
  </si>
  <si>
    <t xml:space="preserve"> deepseek-v4-pro-hf </t>
  </si>
  <si>
    <t xml:space="preserve"> foundation-8b-instruct-vllm </t>
  </si>
  <si>
    <t xml:space="preserve"> gemini-2.5-flash </t>
  </si>
  <si>
    <t xml:space="preserve"> gemini-3-flash </t>
  </si>
  <si>
    <t xml:space="preserve"> gpt5.2 </t>
  </si>
  <si>
    <t xml:space="preserve"> gpt5.2-high </t>
  </si>
  <si>
    <t xml:space="preserve"> gpt5.5 </t>
  </si>
  <si>
    <t xml:space="preserve"> llama-3-8b-vllm </t>
  </si>
  <si>
    <t xml:space="preserve"> qwen3-30b-a3b-thinking-2507-vllm </t>
  </si>
  <si>
    <t>Overall Score (micro avg)</t>
  </si>
  <si>
    <t>model</t>
  </si>
  <si>
    <t>athena_cost_usd</t>
  </si>
  <si>
    <t>cybersoceval_cost_usd</t>
  </si>
  <si>
    <t>cybermetric_cost_usd</t>
  </si>
  <si>
    <t>mmlu_pro_cost_usd</t>
  </si>
  <si>
    <t>total_cost_usd</t>
  </si>
  <si>
    <t>total_input_tok</t>
  </si>
  <si>
    <t>total_output_tok</t>
  </si>
  <si>
    <t>usd_per_1k_tok</t>
  </si>
  <si>
    <t>deepseek-v3.1-terminus-hf</t>
  </si>
  <si>
    <t>deepseek-v3.2-exp-hf</t>
  </si>
  <si>
    <t>deepseek-v4-pro-hf</t>
  </si>
  <si>
    <t>gemini-3-flash</t>
  </si>
  <si>
    <t>gpt5.2</t>
  </si>
  <si>
    <t>gpt5.5</t>
  </si>
  <si>
    <t>wallclock_hours</t>
  </si>
  <si>
    <t>gpu_hours_billed</t>
  </si>
  <si>
    <t>billing_basis</t>
  </si>
  <si>
    <t>API tokens</t>
  </si>
  <si>
    <t>2xH100 @ $2.50/hr</t>
  </si>
  <si>
    <t>asg-ai_athena-cti-sft-qwen3-30b-a3b-thinking-2507-v21-cse</t>
  </si>
  <si>
    <t>athena-cti-sft-foundation-8b-v21-core-vllm</t>
  </si>
  <si>
    <t>athena-cti-sft-foundation-8b-v21-cse-vllm</t>
  </si>
  <si>
    <t>athena-cti-sft-foundation-8b-v21-recalibrate-vllm</t>
  </si>
  <si>
    <t>athena-cti-sft-foundation-8b-v21-taa-vllm</t>
  </si>
  <si>
    <t>athena-cti-sft-llama31-8b-v21-core-vllm</t>
  </si>
  <si>
    <t>athena-cti-sft-llama31-8b-v21-cse-vllm</t>
  </si>
  <si>
    <t>athena-cti-sft-llama31-8b-v21-recalibrate-vllm</t>
  </si>
  <si>
    <t>athena-cti-sft-llama31-8b-v21-taa-vllm</t>
  </si>
  <si>
    <t>athena-cti-sft-qwen25-14b-v21-core-vllm</t>
  </si>
  <si>
    <t>athena-cti-sft-qwen25-14b-v21-recalibrate-vllm</t>
  </si>
  <si>
    <t>athena-cti-sft-qwen25-14b-v21-taa-vllm</t>
  </si>
  <si>
    <t>athena-cti-sft-qwen25-32b-v21-core-vllm</t>
  </si>
  <si>
    <t>athena-cti-sft-qwen25-32b-v21-cse-vllm</t>
  </si>
  <si>
    <t>athena-cti-sft-qwen25-32b-v21-recal-32b-vllm</t>
  </si>
  <si>
    <t>athena-cti-sft-qwen25-32b-v21-recalibrate-vllm</t>
  </si>
  <si>
    <t>athena-cti-sft-qwen25-32b-v21-taa-vllm</t>
  </si>
  <si>
    <t>athena-cti-sft-qwen3-30b-a3b-thinking-2507-v21-core-no-think-vllm</t>
  </si>
  <si>
    <t>athena-cti-sft-qwen3-30b-a3b-thinking-2507-v21-recal-32b-no-think-vllm</t>
  </si>
  <si>
    <t>athena-cti-sft-qwen3-30b-a3b-thinking-2507-v21-recalibrate-no-think-vllm</t>
  </si>
  <si>
    <t>athena-cti-sft-qwen3-30b-a3b-thinking-2507-v21-taa-no-think-vllm</t>
  </si>
  <si>
    <t>Summary Score (acc)</t>
  </si>
  <si>
    <t>econ</t>
  </si>
  <si>
    <t>comp sci</t>
  </si>
  <si>
    <t>chem</t>
  </si>
  <si>
    <t>bio</t>
  </si>
  <si>
    <t>bus</t>
  </si>
  <si>
    <t>eng</t>
  </si>
  <si>
    <t>hlth</t>
  </si>
  <si>
    <t>hist</t>
  </si>
  <si>
    <t>phil</t>
  </si>
  <si>
    <t>phys</t>
  </si>
  <si>
    <t>psych</t>
  </si>
  <si>
    <t>Result Cost</t>
  </si>
  <si>
    <t>reasoning_effort</t>
  </si>
  <si>
    <t>default</t>
  </si>
  <si>
    <t>medium</t>
  </si>
  <si>
    <t>model_key</t>
  </si>
  <si>
    <t>qwen3-30b-a3b-thinking-2507-vllm</t>
  </si>
  <si>
    <t>deepseek-ai/DeepSeek-V3.2-Exp</t>
  </si>
  <si>
    <t>qwen2.5-32b-vllm</t>
  </si>
  <si>
    <t>qwen2.5-14b-vllm</t>
  </si>
  <si>
    <t>qwen3-30b-a3b-instruct-2507-vllm</t>
  </si>
  <si>
    <t>llama-3-8b-vllm</t>
  </si>
  <si>
    <t>foundation-8b-instruct-vllm</t>
  </si>
  <si>
    <t>fdtn-ai/Foundation-Sec-8B-Instruct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</si>
</sst>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/mm/yyyy"/>
    <numFmt numFmtId="166" formatCode="dd\-mm\-yyyy"/>
    <numFmt numFmtId="167" formatCode="d/m/yyyy"/>
    <numFmt numFmtId="168" formatCode="&quot;$&quot;#,##0.00"/>
  </numFmts>
  <fonts count="4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 (Body)"/>
    </font>
    <font>
      <sz val="8"/>
      <color theme="1"/>
      <name val="Arial (Body)"/>
    </font>
    <font>
      <b/>
      <sz val="8"/>
      <color theme="1"/>
      <name val="Arial (Body)"/>
    </font>
    <font>
      <i/>
      <sz val="8"/>
      <color theme="1"/>
      <name val="Arial (Body)"/>
    </font>
    <font>
      <b/>
      <sz val="10"/>
      <color theme="1"/>
      <name val="Aptos Light"/>
    </font>
    <font>
      <b/>
      <sz val="10"/>
      <color rgb="FF000000"/>
      <name val="Aptos Light"/>
    </font>
    <font>
      <b/>
      <sz val="9"/>
      <color theme="1"/>
      <name val="Aptos Light"/>
    </font>
    <font>
      <b/>
      <sz val="11"/>
      <color theme="1"/>
      <name val="Aptos Light"/>
    </font>
    <font>
      <b/>
      <sz val="11"/>
      <color rgb="FF000000"/>
      <name val="Aptos Light"/>
    </font>
    <font>
      <sz val="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u/>
      <sz val="12"/>
      <color rgb="FF000000"/>
      <name val="Arial"/>
      <family val="2"/>
      <scheme val="minor"/>
    </font>
    <font>
      <b/>
      <sz val="9"/>
      <color rgb="FF000000"/>
      <name val="Aptos Light"/>
    </font>
    <font>
      <b/>
      <i/>
      <sz val="8"/>
      <color theme="1"/>
      <name val="Aptos Light"/>
    </font>
    <font>
      <b/>
      <i/>
      <sz val="8"/>
      <color rgb="FF000000"/>
      <name val="Aptos Light"/>
    </font>
    <font>
      <b/>
      <i/>
      <sz val="8"/>
      <color rgb="FF000000"/>
      <name val="Arial"/>
      <family val="2"/>
      <scheme val="minor"/>
    </font>
    <font>
      <b/>
      <sz val="8"/>
      <color rgb="FF000000"/>
      <name val="Arial"/>
      <family val="2"/>
      <scheme val="minor"/>
    </font>
    <font>
      <i/>
      <sz val="8"/>
      <color rgb="FF000000"/>
      <name val="Arial"/>
      <family val="2"/>
      <scheme val="minor"/>
    </font>
    <font>
      <sz val="9"/>
      <color rgb="FF000000"/>
      <name val="Arial"/>
      <family val="2"/>
      <scheme val="minor"/>
    </font>
    <font>
      <b/>
      <i/>
      <sz val="9"/>
      <color theme="1"/>
      <name val="Aptos Light"/>
    </font>
    <font>
      <b/>
      <sz val="9"/>
      <color rgb="FF000000"/>
      <name val="Aptos"/>
    </font>
    <font>
      <b/>
      <i/>
      <sz val="9"/>
      <color rgb="FF000000"/>
      <name val="Aptos"/>
    </font>
    <font>
      <sz val="8"/>
      <color theme="1"/>
      <name val="Arial"/>
      <family val="2"/>
      <scheme val="minor"/>
    </font>
    <font>
      <b/>
      <sz val="8"/>
      <color rgb="FF000000"/>
      <name val="Aptos"/>
    </font>
    <font>
      <b/>
      <sz val="10"/>
      <color rgb="FF000000"/>
      <name val="Arial"/>
      <family val="2"/>
      <scheme val="minor"/>
    </font>
    <font>
      <b/>
      <sz val="8"/>
      <color theme="1"/>
      <name val="Aptos Light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05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rgb="FF000000"/>
      </left>
      <right style="medium">
        <color indexed="64"/>
      </right>
      <top style="dashed">
        <color rgb="FF000000"/>
      </top>
      <bottom style="dash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dashed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rgb="FF000000"/>
      </left>
      <right style="medium">
        <color indexed="64"/>
      </right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rgb="FF000000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rgb="FF000000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dotted">
        <color indexed="64"/>
      </right>
      <top/>
      <bottom style="medium">
        <color rgb="FF000000"/>
      </bottom>
      <diagonal/>
    </border>
    <border>
      <left style="dotted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rgb="FF000000"/>
      </top>
      <bottom style="dotted">
        <color indexed="64"/>
      </bottom>
      <diagonal/>
    </border>
    <border>
      <left/>
      <right style="medium">
        <color indexed="64"/>
      </right>
      <top style="dotted">
        <color rgb="FF000000"/>
      </top>
      <bottom style="dotted">
        <color indexed="64"/>
      </bottom>
      <diagonal/>
    </border>
    <border>
      <left/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/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tted">
        <color indexed="64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/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 style="dotted">
        <color rgb="FF000000"/>
      </bottom>
      <diagonal/>
    </border>
    <border>
      <left style="dotted">
        <color indexed="64"/>
      </left>
      <right style="dotted">
        <color rgb="FF000000"/>
      </right>
      <top/>
      <bottom/>
      <diagonal/>
    </border>
    <border>
      <left style="dotted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 style="dotted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 style="dotted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indexed="64"/>
      </left>
      <right/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/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/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/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indexed="64"/>
      </bottom>
      <diagonal/>
    </border>
    <border>
      <left style="dotted">
        <color indexed="64"/>
      </left>
      <right style="dotted">
        <color rgb="FF000000"/>
      </right>
      <top/>
      <bottom style="dotted">
        <color indexed="64"/>
      </bottom>
      <diagonal/>
    </border>
    <border>
      <left style="medium">
        <color rgb="FF000000"/>
      </left>
      <right/>
      <top style="dotted">
        <color rgb="FF000000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/>
      <bottom style="dotted">
        <color indexed="64"/>
      </bottom>
      <diagonal/>
    </border>
    <border>
      <left style="dotted">
        <color rgb="FF000000"/>
      </left>
      <right/>
      <top/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/>
      <bottom style="dotted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 style="dotted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rgb="FF000000"/>
      </left>
      <right style="dotted">
        <color indexed="64"/>
      </right>
      <top/>
      <bottom style="dotted">
        <color rgb="FF000000"/>
      </bottom>
      <diagonal/>
    </border>
    <border>
      <left/>
      <right style="dotted">
        <color indexed="64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/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/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indexed="64"/>
      </top>
      <bottom style="dotted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/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/>
      <diagonal/>
    </border>
    <border>
      <left style="dotted">
        <color rgb="FF000000"/>
      </left>
      <right style="medium">
        <color rgb="FF000000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dotted">
        <color rgb="FF000000"/>
      </top>
      <bottom/>
      <diagonal/>
    </border>
    <border>
      <left style="medium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/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dotted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/>
      <bottom style="medium">
        <color indexed="64"/>
      </bottom>
      <diagonal/>
    </border>
    <border>
      <left style="dotted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rgb="FF000000"/>
      </right>
      <top style="dotted">
        <color indexed="64"/>
      </top>
      <bottom style="dotted">
        <color indexed="64"/>
      </bottom>
      <diagonal/>
    </border>
    <border>
      <left style="medium">
        <color rgb="FF000000"/>
      </left>
      <right style="dotted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dotted">
        <color rgb="FF000000"/>
      </top>
      <bottom style="dotted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 style="medium">
        <color auto="1"/>
      </right>
      <top/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dotted">
        <color rgb="FF000000"/>
      </left>
      <right style="medium">
        <color auto="1"/>
      </right>
      <top/>
      <bottom style="dotted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/>
      <diagonal/>
    </border>
    <border>
      <left style="dotted">
        <color rgb="FF000000"/>
      </left>
      <right style="medium">
        <color auto="1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auto="1"/>
      </right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dotted">
        <color indexed="64"/>
      </top>
      <bottom style="medium">
        <color rgb="FF000000"/>
      </bottom>
      <diagonal/>
    </border>
    <border>
      <left style="dotted">
        <color indexed="64"/>
      </left>
      <right/>
      <top style="medium">
        <color indexed="64"/>
      </top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rgb="FF000000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auto="1"/>
      </right>
      <top style="dotted">
        <color rgb="FF000000"/>
      </top>
      <bottom style="dotted">
        <color indexed="64"/>
      </bottom>
      <diagonal/>
    </border>
    <border>
      <left style="medium">
        <color rgb="FF000000"/>
      </left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 style="dotted">
        <color rgb="FF000000"/>
      </left>
      <right style="medium">
        <color indexed="64"/>
      </right>
      <top style="dotted">
        <color indexed="64"/>
      </top>
      <bottom style="dotted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</borders>
  <cellStyleXfs count="1">
    <xf numFmtId="0" fontId="0" fillId="0" borderId="0"/>
  </cellStyleXfs>
  <cellXfs count="808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4" fillId="0" borderId="17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3" xfId="0" applyFont="1" applyBorder="1"/>
    <xf numFmtId="164" fontId="15" fillId="0" borderId="16" xfId="0" applyNumberFormat="1" applyFont="1" applyBorder="1" applyAlignment="1">
      <alignment horizontal="center"/>
    </xf>
    <xf numFmtId="164" fontId="15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64" fontId="0" fillId="0" borderId="0" xfId="0" applyNumberFormat="1"/>
    <xf numFmtId="164" fontId="15" fillId="0" borderId="18" xfId="0" applyNumberFormat="1" applyFont="1" applyBorder="1" applyAlignment="1">
      <alignment horizontal="center"/>
    </xf>
    <xf numFmtId="164" fontId="15" fillId="0" borderId="20" xfId="0" applyNumberFormat="1" applyFont="1" applyBorder="1" applyAlignment="1">
      <alignment horizontal="center"/>
    </xf>
    <xf numFmtId="164" fontId="15" fillId="0" borderId="3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5" fillId="0" borderId="13" xfId="0" applyNumberFormat="1" applyFont="1" applyBorder="1" applyAlignment="1">
      <alignment horizontal="center"/>
    </xf>
    <xf numFmtId="0" fontId="20" fillId="0" borderId="14" xfId="0" applyFont="1" applyBorder="1" applyAlignment="1">
      <alignment horizontal="left"/>
    </xf>
    <xf numFmtId="0" fontId="20" fillId="0" borderId="14" xfId="0" applyFont="1" applyBorder="1"/>
    <xf numFmtId="0" fontId="20" fillId="0" borderId="12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18" fillId="0" borderId="31" xfId="0" applyFont="1" applyBorder="1" applyAlignment="1">
      <alignment horizontal="center"/>
    </xf>
    <xf numFmtId="164" fontId="15" fillId="0" borderId="35" xfId="0" applyNumberFormat="1" applyFont="1" applyBorder="1" applyAlignment="1">
      <alignment horizontal="center"/>
    </xf>
    <xf numFmtId="164" fontId="16" fillId="0" borderId="20" xfId="0" applyNumberFormat="1" applyFont="1" applyBorder="1" applyAlignment="1">
      <alignment horizontal="center"/>
    </xf>
    <xf numFmtId="0" fontId="20" fillId="0" borderId="25" xfId="0" applyFont="1" applyBorder="1" applyAlignment="1">
      <alignment horizontal="left"/>
    </xf>
    <xf numFmtId="164" fontId="15" fillId="0" borderId="36" xfId="0" applyNumberFormat="1" applyFont="1" applyBorder="1" applyAlignment="1">
      <alignment horizontal="center"/>
    </xf>
    <xf numFmtId="164" fontId="15" fillId="0" borderId="37" xfId="0" applyNumberFormat="1" applyFont="1" applyBorder="1" applyAlignment="1">
      <alignment horizontal="center"/>
    </xf>
    <xf numFmtId="164" fontId="15" fillId="0" borderId="38" xfId="0" applyNumberFormat="1" applyFont="1" applyBorder="1" applyAlignment="1">
      <alignment horizontal="center"/>
    </xf>
    <xf numFmtId="0" fontId="14" fillId="0" borderId="11" xfId="0" applyFont="1" applyBorder="1" applyAlignment="1">
      <alignment horizontal="left"/>
    </xf>
    <xf numFmtId="164" fontId="16" fillId="0" borderId="5" xfId="0" applyNumberFormat="1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64" fontId="15" fillId="0" borderId="40" xfId="0" applyNumberFormat="1" applyFont="1" applyBorder="1" applyAlignment="1">
      <alignment horizontal="center"/>
    </xf>
    <xf numFmtId="164" fontId="16" fillId="0" borderId="47" xfId="0" applyNumberFormat="1" applyFont="1" applyBorder="1" applyAlignment="1">
      <alignment horizontal="center"/>
    </xf>
    <xf numFmtId="164" fontId="15" fillId="0" borderId="48" xfId="0" applyNumberFormat="1" applyFont="1" applyBorder="1" applyAlignment="1">
      <alignment horizontal="center"/>
    </xf>
    <xf numFmtId="164" fontId="16" fillId="0" borderId="61" xfId="0" applyNumberFormat="1" applyFont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164" fontId="15" fillId="0" borderId="62" xfId="0" applyNumberFormat="1" applyFont="1" applyBorder="1" applyAlignment="1">
      <alignment horizontal="center"/>
    </xf>
    <xf numFmtId="164" fontId="23" fillId="0" borderId="52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29" fillId="0" borderId="33" xfId="0" applyNumberFormat="1" applyFont="1" applyBorder="1" applyAlignment="1">
      <alignment horizontal="center" vertical="center" wrapText="1"/>
    </xf>
    <xf numFmtId="164" fontId="28" fillId="0" borderId="32" xfId="0" applyNumberFormat="1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/>
    </xf>
    <xf numFmtId="0" fontId="30" fillId="0" borderId="55" xfId="0" applyFont="1" applyBorder="1" applyAlignment="1">
      <alignment horizontal="center" vertical="center" wrapText="1"/>
    </xf>
    <xf numFmtId="0" fontId="30" fillId="0" borderId="5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164" fontId="31" fillId="0" borderId="53" xfId="0" applyNumberFormat="1" applyFont="1" applyBorder="1" applyAlignment="1">
      <alignment horizontal="center" vertical="center"/>
    </xf>
    <xf numFmtId="164" fontId="16" fillId="0" borderId="44" xfId="0" applyNumberFormat="1" applyFont="1" applyBorder="1" applyAlignment="1">
      <alignment horizontal="center"/>
    </xf>
    <xf numFmtId="0" fontId="13" fillId="0" borderId="0" xfId="0" applyFont="1"/>
    <xf numFmtId="0" fontId="20" fillId="0" borderId="0" xfId="0" applyFont="1" applyAlignment="1">
      <alignment horizontal="left"/>
    </xf>
    <xf numFmtId="164" fontId="17" fillId="0" borderId="0" xfId="0" applyNumberFormat="1" applyFont="1" applyAlignment="1">
      <alignment horizontal="left"/>
    </xf>
    <xf numFmtId="0" fontId="32" fillId="0" borderId="0" xfId="0" applyFont="1"/>
    <xf numFmtId="164" fontId="28" fillId="0" borderId="6" xfId="0" applyNumberFormat="1" applyFont="1" applyBorder="1" applyAlignment="1">
      <alignment horizontal="center" vertical="center" wrapText="1"/>
    </xf>
    <xf numFmtId="164" fontId="29" fillId="0" borderId="59" xfId="0" applyNumberFormat="1" applyFont="1" applyBorder="1" applyAlignment="1">
      <alignment horizontal="center" vertical="center" wrapText="1"/>
    </xf>
    <xf numFmtId="164" fontId="29" fillId="0" borderId="6" xfId="0" applyNumberFormat="1" applyFont="1" applyBorder="1" applyAlignment="1">
      <alignment horizontal="center" vertical="center" wrapText="1"/>
    </xf>
    <xf numFmtId="0" fontId="20" fillId="0" borderId="66" xfId="0" applyFont="1" applyBorder="1" applyAlignment="1">
      <alignment horizontal="left"/>
    </xf>
    <xf numFmtId="164" fontId="15" fillId="0" borderId="67" xfId="0" applyNumberFormat="1" applyFont="1" applyBorder="1" applyAlignment="1">
      <alignment horizontal="center"/>
    </xf>
    <xf numFmtId="164" fontId="15" fillId="0" borderId="68" xfId="0" applyNumberFormat="1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6" fillId="0" borderId="72" xfId="0" applyNumberFormat="1" applyFont="1" applyBorder="1" applyAlignment="1">
      <alignment horizontal="center"/>
    </xf>
    <xf numFmtId="164" fontId="16" fillId="0" borderId="71" xfId="0" applyNumberFormat="1" applyFont="1" applyBorder="1" applyAlignment="1">
      <alignment horizontal="center"/>
    </xf>
    <xf numFmtId="164" fontId="15" fillId="0" borderId="71" xfId="0" applyNumberFormat="1" applyFont="1" applyBorder="1" applyAlignment="1">
      <alignment horizontal="center"/>
    </xf>
    <xf numFmtId="164" fontId="16" fillId="0" borderId="73" xfId="0" applyNumberFormat="1" applyFont="1" applyBorder="1" applyAlignment="1">
      <alignment horizontal="center"/>
    </xf>
    <xf numFmtId="164" fontId="15" fillId="0" borderId="73" xfId="0" applyNumberFormat="1" applyFont="1" applyBorder="1" applyAlignment="1">
      <alignment horizontal="center"/>
    </xf>
    <xf numFmtId="164" fontId="16" fillId="0" borderId="74" xfId="0" applyNumberFormat="1" applyFont="1" applyBorder="1" applyAlignment="1">
      <alignment horizontal="center"/>
    </xf>
    <xf numFmtId="164" fontId="15" fillId="0" borderId="74" xfId="0" applyNumberFormat="1" applyFont="1" applyBorder="1" applyAlignment="1">
      <alignment horizontal="center"/>
    </xf>
    <xf numFmtId="164" fontId="16" fillId="0" borderId="75" xfId="0" applyNumberFormat="1" applyFont="1" applyBorder="1" applyAlignment="1">
      <alignment horizontal="center"/>
    </xf>
    <xf numFmtId="164" fontId="16" fillId="0" borderId="76" xfId="0" applyNumberFormat="1" applyFont="1" applyBorder="1" applyAlignment="1">
      <alignment horizontal="center"/>
    </xf>
    <xf numFmtId="164" fontId="16" fillId="0" borderId="77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164" fontId="23" fillId="0" borderId="80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 vertical="center"/>
    </xf>
    <xf numFmtId="164" fontId="31" fillId="0" borderId="81" xfId="0" applyNumberFormat="1" applyFont="1" applyBorder="1" applyAlignment="1">
      <alignment horizontal="center" vertical="center"/>
    </xf>
    <xf numFmtId="164" fontId="23" fillId="0" borderId="82" xfId="0" applyNumberFormat="1" applyFont="1" applyBorder="1" applyAlignment="1">
      <alignment horizontal="center" vertical="center"/>
    </xf>
    <xf numFmtId="164" fontId="23" fillId="0" borderId="83" xfId="0" applyNumberFormat="1" applyFont="1" applyBorder="1" applyAlignment="1">
      <alignment horizontal="center" vertical="center"/>
    </xf>
    <xf numFmtId="164" fontId="31" fillId="0" borderId="83" xfId="0" applyNumberFormat="1" applyFont="1" applyBorder="1" applyAlignment="1">
      <alignment horizontal="center" vertical="center"/>
    </xf>
    <xf numFmtId="164" fontId="15" fillId="0" borderId="84" xfId="0" applyNumberFormat="1" applyFont="1" applyBorder="1" applyAlignment="1">
      <alignment horizontal="center"/>
    </xf>
    <xf numFmtId="164" fontId="15" fillId="0" borderId="87" xfId="0" applyNumberFormat="1" applyFont="1" applyBorder="1" applyAlignment="1">
      <alignment horizontal="center"/>
    </xf>
    <xf numFmtId="164" fontId="15" fillId="0" borderId="88" xfId="0" applyNumberFormat="1" applyFont="1" applyBorder="1" applyAlignment="1">
      <alignment horizontal="center"/>
    </xf>
    <xf numFmtId="164" fontId="15" fillId="0" borderId="89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 vertical="center"/>
    </xf>
    <xf numFmtId="0" fontId="20" fillId="0" borderId="90" xfId="0" applyFont="1" applyBorder="1" applyAlignment="1">
      <alignment horizontal="left"/>
    </xf>
    <xf numFmtId="164" fontId="15" fillId="0" borderId="90" xfId="0" applyNumberFormat="1" applyFont="1" applyBorder="1" applyAlignment="1">
      <alignment horizontal="center"/>
    </xf>
    <xf numFmtId="164" fontId="15" fillId="0" borderId="85" xfId="0" applyNumberFormat="1" applyFont="1" applyBorder="1" applyAlignment="1">
      <alignment horizontal="center"/>
    </xf>
    <xf numFmtId="164" fontId="16" fillId="0" borderId="91" xfId="0" applyNumberFormat="1" applyFont="1" applyBorder="1" applyAlignment="1">
      <alignment horizontal="center"/>
    </xf>
    <xf numFmtId="164" fontId="15" fillId="0" borderId="91" xfId="0" applyNumberFormat="1" applyFont="1" applyBorder="1" applyAlignment="1">
      <alignment horizontal="center"/>
    </xf>
    <xf numFmtId="164" fontId="16" fillId="0" borderId="93" xfId="0" applyNumberFormat="1" applyFont="1" applyBorder="1" applyAlignment="1">
      <alignment horizontal="center"/>
    </xf>
    <xf numFmtId="164" fontId="15" fillId="0" borderId="92" xfId="0" applyNumberFormat="1" applyFont="1" applyBorder="1" applyAlignment="1">
      <alignment horizontal="center"/>
    </xf>
    <xf numFmtId="164" fontId="16" fillId="0" borderId="16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/>
    </xf>
    <xf numFmtId="164" fontId="15" fillId="0" borderId="94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/>
    </xf>
    <xf numFmtId="164" fontId="15" fillId="0" borderId="96" xfId="0" applyNumberFormat="1" applyFont="1" applyBorder="1" applyAlignment="1">
      <alignment horizontal="center"/>
    </xf>
    <xf numFmtId="164" fontId="15" fillId="0" borderId="97" xfId="0" applyNumberFormat="1" applyFont="1" applyBorder="1" applyAlignment="1">
      <alignment horizontal="center"/>
    </xf>
    <xf numFmtId="164" fontId="15" fillId="0" borderId="98" xfId="0" applyNumberFormat="1" applyFont="1" applyBorder="1" applyAlignment="1">
      <alignment horizontal="center"/>
    </xf>
    <xf numFmtId="164" fontId="15" fillId="0" borderId="86" xfId="0" applyNumberFormat="1" applyFont="1" applyBorder="1" applyAlignment="1">
      <alignment horizontal="center"/>
    </xf>
    <xf numFmtId="164" fontId="15" fillId="0" borderId="99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/>
    </xf>
    <xf numFmtId="164" fontId="15" fillId="0" borderId="53" xfId="0" applyNumberFormat="1" applyFont="1" applyBorder="1" applyAlignment="1">
      <alignment horizontal="center"/>
    </xf>
    <xf numFmtId="164" fontId="15" fillId="0" borderId="102" xfId="0" applyNumberFormat="1" applyFont="1" applyBorder="1" applyAlignment="1">
      <alignment horizontal="center"/>
    </xf>
    <xf numFmtId="164" fontId="15" fillId="0" borderId="103" xfId="0" applyNumberFormat="1" applyFont="1" applyBorder="1" applyAlignment="1">
      <alignment horizontal="center"/>
    </xf>
    <xf numFmtId="164" fontId="15" fillId="0" borderId="104" xfId="0" applyNumberFormat="1" applyFont="1" applyBorder="1" applyAlignment="1">
      <alignment horizontal="center"/>
    </xf>
    <xf numFmtId="164" fontId="15" fillId="0" borderId="105" xfId="0" applyNumberFormat="1" applyFont="1" applyBorder="1" applyAlignment="1">
      <alignment horizontal="center"/>
    </xf>
    <xf numFmtId="164" fontId="15" fillId="0" borderId="106" xfId="0" applyNumberFormat="1" applyFont="1" applyBorder="1" applyAlignment="1">
      <alignment horizontal="center"/>
    </xf>
    <xf numFmtId="164" fontId="15" fillId="0" borderId="107" xfId="0" applyNumberFormat="1" applyFont="1" applyBorder="1" applyAlignment="1">
      <alignment horizontal="center"/>
    </xf>
    <xf numFmtId="164" fontId="15" fillId="0" borderId="108" xfId="0" applyNumberFormat="1" applyFont="1" applyBorder="1" applyAlignment="1">
      <alignment horizontal="center"/>
    </xf>
    <xf numFmtId="164" fontId="15" fillId="0" borderId="109" xfId="0" applyNumberFormat="1" applyFont="1" applyBorder="1" applyAlignment="1">
      <alignment horizontal="center"/>
    </xf>
    <xf numFmtId="164" fontId="23" fillId="0" borderId="110" xfId="0" applyNumberFormat="1" applyFont="1" applyBorder="1" applyAlignment="1">
      <alignment horizontal="center" vertical="center"/>
    </xf>
    <xf numFmtId="164" fontId="23" fillId="0" borderId="11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/>
    </xf>
    <xf numFmtId="164" fontId="15" fillId="0" borderId="113" xfId="0" applyNumberFormat="1" applyFont="1" applyBorder="1" applyAlignment="1">
      <alignment horizontal="center"/>
    </xf>
    <xf numFmtId="164" fontId="15" fillId="0" borderId="114" xfId="0" applyNumberFormat="1" applyFont="1" applyBorder="1" applyAlignment="1">
      <alignment horizontal="center"/>
    </xf>
    <xf numFmtId="164" fontId="15" fillId="0" borderId="115" xfId="0" applyNumberFormat="1" applyFont="1" applyBorder="1" applyAlignment="1">
      <alignment horizontal="center"/>
    </xf>
    <xf numFmtId="164" fontId="15" fillId="0" borderId="116" xfId="0" applyNumberFormat="1" applyFont="1" applyBorder="1" applyAlignment="1">
      <alignment horizontal="center"/>
    </xf>
    <xf numFmtId="164" fontId="15" fillId="0" borderId="117" xfId="0" applyNumberFormat="1" applyFont="1" applyBorder="1" applyAlignment="1">
      <alignment horizontal="center"/>
    </xf>
    <xf numFmtId="164" fontId="15" fillId="0" borderId="118" xfId="0" applyNumberFormat="1" applyFont="1" applyBorder="1" applyAlignment="1">
      <alignment horizontal="center"/>
    </xf>
    <xf numFmtId="164" fontId="23" fillId="0" borderId="119" xfId="0" applyNumberFormat="1" applyFont="1" applyBorder="1" applyAlignment="1">
      <alignment horizontal="center" vertical="center"/>
    </xf>
    <xf numFmtId="164" fontId="15" fillId="0" borderId="120" xfId="0" applyNumberFormat="1" applyFont="1" applyBorder="1" applyAlignment="1">
      <alignment horizontal="center"/>
    </xf>
    <xf numFmtId="164" fontId="16" fillId="0" borderId="40" xfId="0" applyNumberFormat="1" applyFont="1" applyBorder="1" applyAlignment="1">
      <alignment horizontal="center"/>
    </xf>
    <xf numFmtId="164" fontId="15" fillId="0" borderId="121" xfId="0" applyNumberFormat="1" applyFont="1" applyBorder="1" applyAlignment="1">
      <alignment horizontal="center"/>
    </xf>
    <xf numFmtId="164" fontId="15" fillId="0" borderId="122" xfId="0" applyNumberFormat="1" applyFont="1" applyBorder="1" applyAlignment="1">
      <alignment horizontal="center"/>
    </xf>
    <xf numFmtId="164" fontId="15" fillId="0" borderId="123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/>
    </xf>
    <xf numFmtId="164" fontId="16" fillId="0" borderId="94" xfId="0" applyNumberFormat="1" applyFont="1" applyBorder="1" applyAlignment="1">
      <alignment horizontal="center"/>
    </xf>
    <xf numFmtId="0" fontId="15" fillId="0" borderId="95" xfId="0" applyFont="1" applyBorder="1" applyAlignment="1">
      <alignment horizontal="center"/>
    </xf>
    <xf numFmtId="164" fontId="15" fillId="0" borderId="101" xfId="0" applyNumberFormat="1" applyFont="1" applyBorder="1" applyAlignment="1">
      <alignment horizontal="center"/>
    </xf>
    <xf numFmtId="164" fontId="15" fillId="0" borderId="124" xfId="0" applyNumberFormat="1" applyFont="1" applyBorder="1" applyAlignment="1">
      <alignment horizontal="center"/>
    </xf>
    <xf numFmtId="164" fontId="15" fillId="0" borderId="125" xfId="0" applyNumberFormat="1" applyFont="1" applyBorder="1" applyAlignment="1">
      <alignment horizontal="center"/>
    </xf>
    <xf numFmtId="164" fontId="16" fillId="0" borderId="125" xfId="0" applyNumberFormat="1" applyFont="1" applyBorder="1" applyAlignment="1">
      <alignment horizontal="center"/>
    </xf>
    <xf numFmtId="164" fontId="15" fillId="0" borderId="126" xfId="0" applyNumberFormat="1" applyFont="1" applyBorder="1" applyAlignment="1">
      <alignment horizontal="center"/>
    </xf>
    <xf numFmtId="0" fontId="15" fillId="0" borderId="126" xfId="0" applyFont="1" applyBorder="1" applyAlignment="1">
      <alignment horizontal="center"/>
    </xf>
    <xf numFmtId="164" fontId="15" fillId="0" borderId="127" xfId="0" applyNumberFormat="1" applyFont="1" applyBorder="1" applyAlignment="1">
      <alignment horizontal="center"/>
    </xf>
    <xf numFmtId="164" fontId="15" fillId="0" borderId="128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/>
    </xf>
    <xf numFmtId="0" fontId="27" fillId="0" borderId="14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36" fillId="0" borderId="0" xfId="0" applyFont="1"/>
    <xf numFmtId="0" fontId="35" fillId="0" borderId="53" xfId="0" applyFont="1" applyBorder="1"/>
    <xf numFmtId="0" fontId="0" fillId="0" borderId="53" xfId="0" applyBorder="1"/>
    <xf numFmtId="0" fontId="0" fillId="0" borderId="100" xfId="0" applyBorder="1"/>
    <xf numFmtId="0" fontId="0" fillId="0" borderId="69" xfId="0" applyBorder="1"/>
    <xf numFmtId="164" fontId="0" fillId="0" borderId="100" xfId="0" applyNumberFormat="1" applyBorder="1"/>
    <xf numFmtId="164" fontId="0" fillId="0" borderId="69" xfId="0" applyNumberFormat="1" applyBorder="1"/>
    <xf numFmtId="0" fontId="0" fillId="0" borderId="88" xfId="0" applyBorder="1"/>
    <xf numFmtId="164" fontId="0" fillId="0" borderId="88" xfId="0" applyNumberFormat="1" applyBorder="1"/>
    <xf numFmtId="0" fontId="23" fillId="0" borderId="53" xfId="0" applyFont="1" applyBorder="1" applyAlignment="1">
      <alignment horizontal="center" vertical="center"/>
    </xf>
    <xf numFmtId="0" fontId="23" fillId="0" borderId="100" xfId="0" applyFont="1" applyBorder="1" applyAlignment="1">
      <alignment horizontal="center" vertical="center"/>
    </xf>
    <xf numFmtId="0" fontId="23" fillId="0" borderId="88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164" fontId="23" fillId="0" borderId="100" xfId="0" applyNumberFormat="1" applyFont="1" applyBorder="1" applyAlignment="1">
      <alignment horizontal="center" vertical="center"/>
    </xf>
    <xf numFmtId="164" fontId="23" fillId="0" borderId="88" xfId="0" applyNumberFormat="1" applyFont="1" applyBorder="1" applyAlignment="1">
      <alignment horizontal="center" vertical="center"/>
    </xf>
    <xf numFmtId="0" fontId="24" fillId="0" borderId="53" xfId="0" applyFont="1" applyBorder="1"/>
    <xf numFmtId="164" fontId="15" fillId="0" borderId="130" xfId="0" applyNumberFormat="1" applyFont="1" applyBorder="1" applyAlignment="1">
      <alignment horizontal="center"/>
    </xf>
    <xf numFmtId="164" fontId="15" fillId="0" borderId="131" xfId="0" applyNumberFormat="1" applyFont="1" applyBorder="1" applyAlignment="1">
      <alignment horizontal="center"/>
    </xf>
    <xf numFmtId="164" fontId="16" fillId="0" borderId="95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/>
    </xf>
    <xf numFmtId="164" fontId="23" fillId="0" borderId="132" xfId="0" applyNumberFormat="1" applyFont="1" applyBorder="1" applyAlignment="1">
      <alignment horizontal="center" vertical="center"/>
    </xf>
    <xf numFmtId="164" fontId="23" fillId="0" borderId="71" xfId="0" applyNumberFormat="1" applyFont="1" applyBorder="1" applyAlignment="1">
      <alignment horizontal="center" vertical="center"/>
    </xf>
    <xf numFmtId="164" fontId="16" fillId="0" borderId="108" xfId="0" applyNumberFormat="1" applyFont="1" applyBorder="1" applyAlignment="1">
      <alignment horizontal="center"/>
    </xf>
    <xf numFmtId="164" fontId="31" fillId="0" borderId="111" xfId="0" applyNumberFormat="1" applyFont="1" applyBorder="1" applyAlignment="1">
      <alignment horizontal="center" vertical="center"/>
    </xf>
    <xf numFmtId="164" fontId="15" fillId="0" borderId="133" xfId="0" applyNumberFormat="1" applyFont="1" applyBorder="1" applyAlignment="1">
      <alignment horizontal="center"/>
    </xf>
    <xf numFmtId="164" fontId="15" fillId="0" borderId="134" xfId="0" applyNumberFormat="1" applyFont="1" applyBorder="1" applyAlignment="1">
      <alignment horizontal="center"/>
    </xf>
    <xf numFmtId="164" fontId="15" fillId="0" borderId="135" xfId="0" applyNumberFormat="1" applyFont="1" applyBorder="1" applyAlignment="1">
      <alignment horizontal="center"/>
    </xf>
    <xf numFmtId="164" fontId="15" fillId="0" borderId="136" xfId="0" applyNumberFormat="1" applyFont="1" applyBorder="1" applyAlignment="1">
      <alignment horizontal="center"/>
    </xf>
    <xf numFmtId="164" fontId="15" fillId="0" borderId="137" xfId="0" applyNumberFormat="1" applyFont="1" applyBorder="1" applyAlignment="1">
      <alignment horizontal="center"/>
    </xf>
    <xf numFmtId="164" fontId="15" fillId="0" borderId="138" xfId="0" applyNumberFormat="1" applyFont="1" applyBorder="1" applyAlignment="1">
      <alignment horizontal="center"/>
    </xf>
    <xf numFmtId="164" fontId="15" fillId="0" borderId="139" xfId="0" applyNumberFormat="1" applyFont="1" applyBorder="1" applyAlignment="1">
      <alignment horizontal="center"/>
    </xf>
    <xf numFmtId="164" fontId="15" fillId="0" borderId="140" xfId="0" applyNumberFormat="1" applyFont="1" applyBorder="1" applyAlignment="1">
      <alignment horizontal="center"/>
    </xf>
    <xf numFmtId="164" fontId="15" fillId="0" borderId="141" xfId="0" applyNumberFormat="1" applyFont="1" applyBorder="1" applyAlignment="1">
      <alignment horizontal="center"/>
    </xf>
    <xf numFmtId="164" fontId="23" fillId="0" borderId="142" xfId="0" applyNumberFormat="1" applyFont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/>
    </xf>
    <xf numFmtId="0" fontId="23" fillId="0" borderId="14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64" fontId="15" fillId="0" borderId="144" xfId="0" applyNumberFormat="1" applyFont="1" applyBorder="1" applyAlignment="1">
      <alignment horizontal="center"/>
    </xf>
    <xf numFmtId="164" fontId="23" fillId="0" borderId="74" xfId="0" applyNumberFormat="1" applyFont="1" applyBorder="1" applyAlignment="1">
      <alignment horizontal="center" vertical="center"/>
    </xf>
    <xf numFmtId="164" fontId="16" fillId="0" borderId="144" xfId="0" applyNumberFormat="1" applyFont="1" applyBorder="1" applyAlignment="1">
      <alignment horizontal="center"/>
    </xf>
    <xf numFmtId="0" fontId="23" fillId="0" borderId="89" xfId="0" applyFont="1" applyBorder="1" applyAlignment="1">
      <alignment horizontal="center" vertical="center"/>
    </xf>
    <xf numFmtId="164" fontId="15" fillId="0" borderId="145" xfId="0" applyNumberFormat="1" applyFont="1" applyBorder="1" applyAlignment="1">
      <alignment horizontal="center"/>
    </xf>
    <xf numFmtId="164" fontId="23" fillId="0" borderId="147" xfId="0" applyNumberFormat="1" applyFont="1" applyBorder="1" applyAlignment="1">
      <alignment horizontal="center" vertical="center"/>
    </xf>
    <xf numFmtId="164" fontId="23" fillId="0" borderId="148" xfId="0" applyNumberFormat="1" applyFont="1" applyBorder="1" applyAlignment="1">
      <alignment horizontal="center" vertical="center"/>
    </xf>
    <xf numFmtId="164" fontId="23" fillId="0" borderId="149" xfId="0" applyNumberFormat="1" applyFont="1" applyBorder="1" applyAlignment="1">
      <alignment horizontal="center" vertical="center"/>
    </xf>
    <xf numFmtId="164" fontId="15" fillId="0" borderId="105" xfId="0" applyNumberFormat="1" applyFont="1" applyBorder="1" applyAlignment="1">
      <alignment horizontal="center" vertical="center"/>
    </xf>
    <xf numFmtId="0" fontId="23" fillId="0" borderId="147" xfId="0" applyFont="1" applyBorder="1" applyAlignment="1">
      <alignment horizontal="center" vertical="center"/>
    </xf>
    <xf numFmtId="0" fontId="23" fillId="0" borderId="148" xfId="0" applyFont="1" applyBorder="1" applyAlignment="1">
      <alignment horizontal="center" vertical="center"/>
    </xf>
    <xf numFmtId="164" fontId="31" fillId="0" borderId="71" xfId="0" applyNumberFormat="1" applyFont="1" applyBorder="1" applyAlignment="1">
      <alignment horizontal="center" vertical="center"/>
    </xf>
    <xf numFmtId="164" fontId="16" fillId="0" borderId="90" xfId="0" applyNumberFormat="1" applyFont="1" applyBorder="1" applyAlignment="1">
      <alignment horizontal="center"/>
    </xf>
    <xf numFmtId="164" fontId="16" fillId="0" borderId="141" xfId="0" applyNumberFormat="1" applyFont="1" applyBorder="1" applyAlignment="1">
      <alignment horizontal="center"/>
    </xf>
    <xf numFmtId="164" fontId="15" fillId="0" borderId="110" xfId="0" applyNumberFormat="1" applyFont="1" applyBorder="1" applyAlignment="1">
      <alignment horizontal="center"/>
    </xf>
    <xf numFmtId="0" fontId="15" fillId="0" borderId="146" xfId="0" applyFont="1" applyBorder="1" applyAlignment="1">
      <alignment horizontal="center"/>
    </xf>
    <xf numFmtId="0" fontId="15" fillId="0" borderId="150" xfId="0" applyFont="1" applyBorder="1" applyAlignment="1">
      <alignment horizontal="center"/>
    </xf>
    <xf numFmtId="0" fontId="15" fillId="0" borderId="151" xfId="0" applyFont="1" applyBorder="1" applyAlignment="1">
      <alignment horizontal="center"/>
    </xf>
    <xf numFmtId="164" fontId="15" fillId="0" borderId="152" xfId="0" applyNumberFormat="1" applyFont="1" applyBorder="1" applyAlignment="1">
      <alignment horizontal="center"/>
    </xf>
    <xf numFmtId="0" fontId="15" fillId="0" borderId="153" xfId="0" applyFont="1" applyBorder="1" applyAlignment="1">
      <alignment horizontal="center"/>
    </xf>
    <xf numFmtId="164" fontId="15" fillId="0" borderId="150" xfId="0" applyNumberFormat="1" applyFont="1" applyBorder="1" applyAlignment="1">
      <alignment horizontal="center"/>
    </xf>
    <xf numFmtId="164" fontId="15" fillId="0" borderId="154" xfId="0" applyNumberFormat="1" applyFont="1" applyBorder="1" applyAlignment="1">
      <alignment horizontal="center"/>
    </xf>
    <xf numFmtId="164" fontId="15" fillId="0" borderId="155" xfId="0" applyNumberFormat="1" applyFont="1" applyBorder="1" applyAlignment="1">
      <alignment horizontal="center"/>
    </xf>
    <xf numFmtId="164" fontId="15" fillId="0" borderId="156" xfId="0" applyNumberFormat="1" applyFont="1" applyBorder="1" applyAlignment="1">
      <alignment horizontal="center"/>
    </xf>
    <xf numFmtId="164" fontId="15" fillId="0" borderId="119" xfId="0" applyNumberFormat="1" applyFont="1" applyBorder="1" applyAlignment="1">
      <alignment horizontal="center"/>
    </xf>
    <xf numFmtId="164" fontId="15" fillId="0" borderId="157" xfId="0" applyNumberFormat="1" applyFont="1" applyBorder="1" applyAlignment="1">
      <alignment horizontal="center"/>
    </xf>
    <xf numFmtId="164" fontId="15" fillId="0" borderId="158" xfId="0" applyNumberFormat="1" applyFont="1" applyBorder="1" applyAlignment="1">
      <alignment horizontal="center"/>
    </xf>
    <xf numFmtId="164" fontId="15" fillId="0" borderId="159" xfId="0" applyNumberFormat="1" applyFont="1" applyBorder="1" applyAlignment="1">
      <alignment horizontal="center"/>
    </xf>
    <xf numFmtId="164" fontId="15" fillId="0" borderId="160" xfId="0" applyNumberFormat="1" applyFont="1" applyBorder="1" applyAlignment="1">
      <alignment horizontal="center"/>
    </xf>
    <xf numFmtId="164" fontId="15" fillId="0" borderId="161" xfId="0" applyNumberFormat="1" applyFont="1" applyBorder="1" applyAlignment="1">
      <alignment horizontal="center"/>
    </xf>
    <xf numFmtId="164" fontId="15" fillId="0" borderId="162" xfId="0" applyNumberFormat="1" applyFont="1" applyBorder="1" applyAlignment="1">
      <alignment horizontal="center"/>
    </xf>
    <xf numFmtId="164" fontId="23" fillId="0" borderId="99" xfId="0" applyNumberFormat="1" applyFont="1" applyBorder="1" applyAlignment="1">
      <alignment horizontal="center" vertical="center"/>
    </xf>
    <xf numFmtId="164" fontId="15" fillId="0" borderId="163" xfId="0" applyNumberFormat="1" applyFont="1" applyBorder="1" applyAlignment="1">
      <alignment horizontal="center"/>
    </xf>
    <xf numFmtId="0" fontId="20" fillId="0" borderId="161" xfId="0" applyFont="1" applyBorder="1" applyAlignment="1">
      <alignment horizontal="left"/>
    </xf>
    <xf numFmtId="164" fontId="15" fillId="0" borderId="146" xfId="0" applyNumberFormat="1" applyFont="1" applyBorder="1" applyAlignment="1">
      <alignment horizontal="center"/>
    </xf>
    <xf numFmtId="0" fontId="15" fillId="0" borderId="98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164" fontId="15" fillId="0" borderId="143" xfId="0" applyNumberFormat="1" applyFont="1" applyBorder="1" applyAlignment="1">
      <alignment horizontal="center"/>
    </xf>
    <xf numFmtId="0" fontId="15" fillId="0" borderId="127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125" xfId="0" applyFont="1" applyBorder="1" applyAlignment="1">
      <alignment horizontal="center"/>
    </xf>
    <xf numFmtId="164" fontId="23" fillId="0" borderId="164" xfId="0" applyNumberFormat="1" applyFont="1" applyBorder="1" applyAlignment="1">
      <alignment horizontal="center" vertical="center"/>
    </xf>
    <xf numFmtId="164" fontId="16" fillId="0" borderId="106" xfId="0" applyNumberFormat="1" applyFont="1" applyBorder="1" applyAlignment="1">
      <alignment horizontal="center"/>
    </xf>
    <xf numFmtId="164" fontId="15" fillId="0" borderId="165" xfId="0" applyNumberFormat="1" applyFont="1" applyBorder="1" applyAlignment="1">
      <alignment horizontal="center"/>
    </xf>
    <xf numFmtId="164" fontId="15" fillId="0" borderId="166" xfId="0" applyNumberFormat="1" applyFont="1" applyBorder="1" applyAlignment="1">
      <alignment horizontal="center"/>
    </xf>
    <xf numFmtId="164" fontId="15" fillId="0" borderId="167" xfId="0" applyNumberFormat="1" applyFont="1" applyBorder="1" applyAlignment="1">
      <alignment horizontal="center"/>
    </xf>
    <xf numFmtId="164" fontId="15" fillId="0" borderId="168" xfId="0" applyNumberFormat="1" applyFont="1" applyBorder="1" applyAlignment="1">
      <alignment horizontal="center"/>
    </xf>
    <xf numFmtId="164" fontId="15" fillId="0" borderId="169" xfId="0" applyNumberFormat="1" applyFont="1" applyBorder="1" applyAlignment="1">
      <alignment horizontal="center"/>
    </xf>
    <xf numFmtId="164" fontId="15" fillId="0" borderId="170" xfId="0" applyNumberFormat="1" applyFont="1" applyBorder="1" applyAlignment="1">
      <alignment horizontal="center"/>
    </xf>
    <xf numFmtId="164" fontId="15" fillId="0" borderId="171" xfId="0" applyNumberFormat="1" applyFont="1" applyBorder="1" applyAlignment="1">
      <alignment horizontal="center"/>
    </xf>
    <xf numFmtId="164" fontId="15" fillId="0" borderId="82" xfId="0" applyNumberFormat="1" applyFont="1" applyBorder="1" applyAlignment="1">
      <alignment horizontal="center"/>
    </xf>
    <xf numFmtId="164" fontId="15" fillId="0" borderId="172" xfId="0" applyNumberFormat="1" applyFont="1" applyBorder="1" applyAlignment="1">
      <alignment horizontal="center"/>
    </xf>
    <xf numFmtId="164" fontId="16" fillId="0" borderId="171" xfId="0" applyNumberFormat="1" applyFont="1" applyBorder="1" applyAlignment="1">
      <alignment horizontal="center"/>
    </xf>
    <xf numFmtId="164" fontId="16" fillId="0" borderId="80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164" fontId="15" fillId="0" borderId="174" xfId="0" applyNumberFormat="1" applyFont="1" applyBorder="1" applyAlignment="1">
      <alignment horizontal="center"/>
    </xf>
    <xf numFmtId="164" fontId="15" fillId="0" borderId="151" xfId="0" applyNumberFormat="1" applyFont="1" applyBorder="1" applyAlignment="1">
      <alignment horizontal="center"/>
    </xf>
    <xf numFmtId="164" fontId="15" fillId="0" borderId="175" xfId="0" applyNumberFormat="1" applyFont="1" applyBorder="1" applyAlignment="1">
      <alignment horizontal="center"/>
    </xf>
    <xf numFmtId="164" fontId="15" fillId="0" borderId="153" xfId="0" applyNumberFormat="1" applyFont="1" applyBorder="1" applyAlignment="1">
      <alignment horizontal="center"/>
    </xf>
    <xf numFmtId="164" fontId="15" fillId="0" borderId="176" xfId="0" applyNumberFormat="1" applyFont="1" applyBorder="1" applyAlignment="1">
      <alignment horizontal="center"/>
    </xf>
    <xf numFmtId="164" fontId="15" fillId="0" borderId="177" xfId="0" applyNumberFormat="1" applyFont="1" applyBorder="1" applyAlignment="1">
      <alignment horizontal="center"/>
    </xf>
    <xf numFmtId="164" fontId="15" fillId="0" borderId="178" xfId="0" applyNumberFormat="1" applyFont="1" applyBorder="1" applyAlignment="1">
      <alignment horizontal="center"/>
    </xf>
    <xf numFmtId="164" fontId="15" fillId="0" borderId="179" xfId="0" applyNumberFormat="1" applyFont="1" applyBorder="1" applyAlignment="1">
      <alignment horizontal="center"/>
    </xf>
    <xf numFmtId="164" fontId="15" fillId="0" borderId="180" xfId="0" applyNumberFormat="1" applyFont="1" applyBorder="1" applyAlignment="1">
      <alignment horizontal="center"/>
    </xf>
    <xf numFmtId="164" fontId="15" fillId="0" borderId="181" xfId="0" applyNumberFormat="1" applyFont="1" applyBorder="1" applyAlignment="1">
      <alignment horizontal="center"/>
    </xf>
    <xf numFmtId="164" fontId="15" fillId="0" borderId="182" xfId="0" applyNumberFormat="1" applyFont="1" applyBorder="1" applyAlignment="1">
      <alignment horizontal="center"/>
    </xf>
    <xf numFmtId="164" fontId="15" fillId="0" borderId="183" xfId="0" applyNumberFormat="1" applyFont="1" applyBorder="1" applyAlignment="1">
      <alignment horizontal="center"/>
    </xf>
    <xf numFmtId="164" fontId="15" fillId="0" borderId="184" xfId="0" applyNumberFormat="1" applyFont="1" applyBorder="1" applyAlignment="1">
      <alignment horizontal="center"/>
    </xf>
    <xf numFmtId="0" fontId="20" fillId="0" borderId="3" xfId="0" applyFont="1" applyBorder="1" applyAlignment="1">
      <alignment horizontal="left"/>
    </xf>
    <xf numFmtId="164" fontId="15" fillId="0" borderId="185" xfId="0" applyNumberFormat="1" applyFont="1" applyBorder="1" applyAlignment="1">
      <alignment horizontal="center"/>
    </xf>
    <xf numFmtId="164" fontId="15" fillId="0" borderId="186" xfId="0" applyNumberFormat="1" applyFont="1" applyBorder="1" applyAlignment="1">
      <alignment horizontal="center"/>
    </xf>
    <xf numFmtId="0" fontId="20" fillId="0" borderId="101" xfId="0" applyFont="1" applyBorder="1" applyAlignment="1">
      <alignment horizontal="left"/>
    </xf>
    <xf numFmtId="0" fontId="15" fillId="0" borderId="96" xfId="0" applyFont="1" applyBorder="1" applyAlignment="1">
      <alignment horizontal="center"/>
    </xf>
    <xf numFmtId="164" fontId="15" fillId="0" borderId="188" xfId="0" applyNumberFormat="1" applyFont="1" applyBorder="1" applyAlignment="1">
      <alignment horizontal="center"/>
    </xf>
    <xf numFmtId="164" fontId="23" fillId="0" borderId="188" xfId="0" applyNumberFormat="1" applyFont="1" applyBorder="1" applyAlignment="1">
      <alignment horizontal="center" vertical="center"/>
    </xf>
    <xf numFmtId="164" fontId="23" fillId="0" borderId="95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/>
    </xf>
    <xf numFmtId="164" fontId="15" fillId="0" borderId="189" xfId="0" applyNumberFormat="1" applyFont="1" applyBorder="1" applyAlignment="1">
      <alignment horizontal="center"/>
    </xf>
    <xf numFmtId="164" fontId="15" fillId="0" borderId="190" xfId="0" applyNumberFormat="1" applyFont="1" applyBorder="1" applyAlignment="1">
      <alignment horizontal="center"/>
    </xf>
    <xf numFmtId="164" fontId="15" fillId="0" borderId="191" xfId="0" applyNumberFormat="1" applyFont="1" applyBorder="1" applyAlignment="1">
      <alignment horizontal="center"/>
    </xf>
    <xf numFmtId="164" fontId="15" fillId="0" borderId="95" xfId="0" applyNumberFormat="1" applyFont="1" applyBorder="1" applyAlignment="1">
      <alignment horizontal="center" vertical="center"/>
    </xf>
    <xf numFmtId="164" fontId="15" fillId="0" borderId="91" xfId="0" applyNumberFormat="1" applyFont="1" applyBorder="1" applyAlignment="1">
      <alignment horizontal="center" vertical="center"/>
    </xf>
    <xf numFmtId="164" fontId="15" fillId="0" borderId="112" xfId="0" applyNumberFormat="1" applyFont="1" applyBorder="1" applyAlignment="1">
      <alignment horizontal="center" vertical="center"/>
    </xf>
    <xf numFmtId="164" fontId="15" fillId="0" borderId="53" xfId="0" applyNumberFormat="1" applyFont="1" applyBorder="1" applyAlignment="1">
      <alignment horizontal="center" vertical="center"/>
    </xf>
    <xf numFmtId="164" fontId="37" fillId="0" borderId="126" xfId="0" applyNumberFormat="1" applyFont="1" applyBorder="1" applyAlignment="1">
      <alignment horizontal="center" vertical="center"/>
    </xf>
    <xf numFmtId="164" fontId="37" fillId="0" borderId="96" xfId="0" applyNumberFormat="1" applyFont="1" applyBorder="1" applyAlignment="1">
      <alignment horizontal="center" vertical="center"/>
    </xf>
    <xf numFmtId="164" fontId="37" fillId="0" borderId="95" xfId="0" applyNumberFormat="1" applyFont="1" applyBorder="1" applyAlignment="1">
      <alignment horizontal="center" vertical="center"/>
    </xf>
    <xf numFmtId="164" fontId="37" fillId="0" borderId="4" xfId="0" applyNumberFormat="1" applyFont="1" applyBorder="1" applyAlignment="1">
      <alignment horizontal="center" vertical="center"/>
    </xf>
    <xf numFmtId="164" fontId="37" fillId="0" borderId="3" xfId="0" applyNumberFormat="1" applyFont="1" applyBorder="1" applyAlignment="1">
      <alignment horizontal="center" vertical="center"/>
    </xf>
    <xf numFmtId="164" fontId="37" fillId="0" borderId="187" xfId="0" applyNumberFormat="1" applyFont="1" applyBorder="1" applyAlignment="1">
      <alignment horizontal="center" vertical="center"/>
    </xf>
    <xf numFmtId="164" fontId="23" fillId="0" borderId="112" xfId="0" applyNumberFormat="1" applyFont="1" applyBorder="1" applyAlignment="1">
      <alignment horizontal="center" vertical="center"/>
    </xf>
    <xf numFmtId="164" fontId="23" fillId="0" borderId="1" xfId="0" applyNumberFormat="1" applyFont="1" applyBorder="1" applyAlignment="1">
      <alignment horizontal="center" vertical="center"/>
    </xf>
    <xf numFmtId="164" fontId="37" fillId="0" borderId="137" xfId="0" applyNumberFormat="1" applyFont="1" applyBorder="1" applyAlignment="1">
      <alignment horizontal="center" vertical="center"/>
    </xf>
    <xf numFmtId="0" fontId="23" fillId="0" borderId="112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15" fillId="0" borderId="20" xfId="0" applyNumberFormat="1" applyFont="1" applyBorder="1" applyAlignment="1">
      <alignment horizontal="center" vertical="center"/>
    </xf>
    <xf numFmtId="164" fontId="23" fillId="0" borderId="110" xfId="0" applyNumberFormat="1" applyFont="1" applyBorder="1" applyAlignment="1">
      <alignment horizontal="center"/>
    </xf>
    <xf numFmtId="164" fontId="23" fillId="0" borderId="111" xfId="0" applyNumberFormat="1" applyFont="1" applyBorder="1" applyAlignment="1">
      <alignment horizontal="center"/>
    </xf>
    <xf numFmtId="164" fontId="23" fillId="0" borderId="53" xfId="0" applyNumberFormat="1" applyFont="1" applyBorder="1" applyAlignment="1">
      <alignment horizontal="center"/>
    </xf>
    <xf numFmtId="164" fontId="23" fillId="0" borderId="69" xfId="0" applyNumberFormat="1" applyFont="1" applyBorder="1" applyAlignment="1">
      <alignment horizontal="center"/>
    </xf>
    <xf numFmtId="164" fontId="23" fillId="0" borderId="83" xfId="0" applyNumberFormat="1" applyFont="1" applyBorder="1" applyAlignment="1">
      <alignment horizontal="center"/>
    </xf>
    <xf numFmtId="164" fontId="15" fillId="0" borderId="192" xfId="0" applyNumberFormat="1" applyFont="1" applyBorder="1" applyAlignment="1">
      <alignment horizontal="center"/>
    </xf>
    <xf numFmtId="164" fontId="15" fillId="0" borderId="193" xfId="0" applyNumberFormat="1" applyFont="1" applyBorder="1" applyAlignment="1">
      <alignment horizontal="center"/>
    </xf>
    <xf numFmtId="164" fontId="15" fillId="0" borderId="194" xfId="0" applyNumberFormat="1" applyFont="1" applyBorder="1" applyAlignment="1">
      <alignment horizontal="center"/>
    </xf>
    <xf numFmtId="164" fontId="15" fillId="0" borderId="195" xfId="0" applyNumberFormat="1" applyFont="1" applyBorder="1" applyAlignment="1">
      <alignment horizontal="center"/>
    </xf>
    <xf numFmtId="164" fontId="23" fillId="0" borderId="91" xfId="0" applyNumberFormat="1" applyFont="1" applyBorder="1" applyAlignment="1">
      <alignment horizontal="center"/>
    </xf>
    <xf numFmtId="164" fontId="23" fillId="0" borderId="44" xfId="0" applyNumberFormat="1" applyFont="1" applyBorder="1" applyAlignment="1">
      <alignment horizontal="center"/>
    </xf>
    <xf numFmtId="164" fontId="23" fillId="0" borderId="95" xfId="0" applyNumberFormat="1" applyFont="1" applyBorder="1" applyAlignment="1">
      <alignment horizontal="center"/>
    </xf>
    <xf numFmtId="164" fontId="15" fillId="0" borderId="196" xfId="0" applyNumberFormat="1" applyFont="1" applyBorder="1" applyAlignment="1">
      <alignment horizontal="center"/>
    </xf>
    <xf numFmtId="164" fontId="15" fillId="0" borderId="197" xfId="0" applyNumberFormat="1" applyFont="1" applyBorder="1" applyAlignment="1">
      <alignment horizontal="center"/>
    </xf>
    <xf numFmtId="164" fontId="15" fillId="0" borderId="173" xfId="0" applyNumberFormat="1" applyFont="1" applyBorder="1" applyAlignment="1">
      <alignment horizontal="center"/>
    </xf>
    <xf numFmtId="164" fontId="15" fillId="0" borderId="198" xfId="0" applyNumberFormat="1" applyFont="1" applyBorder="1" applyAlignment="1">
      <alignment horizontal="center"/>
    </xf>
    <xf numFmtId="164" fontId="15" fillId="0" borderId="149" xfId="0" applyNumberFormat="1" applyFont="1" applyBorder="1" applyAlignment="1">
      <alignment horizontal="center"/>
    </xf>
    <xf numFmtId="0" fontId="15" fillId="0" borderId="189" xfId="0" applyFont="1" applyBorder="1" applyAlignment="1">
      <alignment horizontal="center"/>
    </xf>
    <xf numFmtId="164" fontId="15" fillId="0" borderId="14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64" fontId="23" fillId="0" borderId="3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/>
    </xf>
    <xf numFmtId="164" fontId="37" fillId="0" borderId="112" xfId="0" applyNumberFormat="1" applyFont="1" applyBorder="1" applyAlignment="1">
      <alignment horizontal="center" vertical="center"/>
    </xf>
    <xf numFmtId="164" fontId="23" fillId="0" borderId="96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/>
    </xf>
    <xf numFmtId="0" fontId="20" fillId="0" borderId="159" xfId="0" applyFont="1" applyBorder="1" applyAlignment="1">
      <alignment horizontal="left"/>
    </xf>
    <xf numFmtId="164" fontId="37" fillId="0" borderId="160" xfId="0" applyNumberFormat="1" applyFont="1" applyBorder="1" applyAlignment="1">
      <alignment horizontal="center"/>
    </xf>
    <xf numFmtId="164" fontId="37" fillId="0" borderId="130" xfId="0" applyNumberFormat="1" applyFont="1" applyBorder="1" applyAlignment="1">
      <alignment horizontal="center" vertical="center"/>
    </xf>
    <xf numFmtId="164" fontId="37" fillId="0" borderId="99" xfId="0" applyNumberFormat="1" applyFont="1" applyBorder="1" applyAlignment="1">
      <alignment horizontal="center" vertical="center"/>
    </xf>
    <xf numFmtId="164" fontId="37" fillId="0" borderId="157" xfId="0" applyNumberFormat="1" applyFont="1" applyBorder="1" applyAlignment="1">
      <alignment horizontal="center" vertical="center"/>
    </xf>
    <xf numFmtId="164" fontId="37" fillId="0" borderId="159" xfId="0" applyNumberFormat="1" applyFont="1" applyBorder="1" applyAlignment="1">
      <alignment horizontal="center" vertical="center"/>
    </xf>
    <xf numFmtId="164" fontId="37" fillId="0" borderId="131" xfId="0" applyNumberFormat="1" applyFont="1" applyBorder="1" applyAlignment="1">
      <alignment horizontal="center" vertical="center"/>
    </xf>
    <xf numFmtId="164" fontId="37" fillId="0" borderId="160" xfId="0" applyNumberFormat="1" applyFont="1" applyBorder="1" applyAlignment="1">
      <alignment horizontal="center" vertical="center"/>
    </xf>
    <xf numFmtId="164" fontId="23" fillId="0" borderId="131" xfId="0" applyNumberFormat="1" applyFont="1" applyBorder="1" applyAlignment="1">
      <alignment horizontal="center" vertical="center"/>
    </xf>
    <xf numFmtId="164" fontId="23" fillId="0" borderId="158" xfId="0" applyNumberFormat="1" applyFont="1" applyBorder="1" applyAlignment="1">
      <alignment horizontal="center" vertical="center"/>
    </xf>
    <xf numFmtId="164" fontId="23" fillId="0" borderId="161" xfId="0" applyNumberFormat="1" applyFont="1" applyBorder="1" applyAlignment="1">
      <alignment horizontal="center" vertical="center"/>
    </xf>
    <xf numFmtId="164" fontId="37" fillId="0" borderId="133" xfId="0" applyNumberFormat="1" applyFont="1" applyBorder="1" applyAlignment="1">
      <alignment horizontal="center" vertical="center"/>
    </xf>
    <xf numFmtId="164" fontId="23" fillId="0" borderId="199" xfId="0" applyNumberFormat="1" applyFont="1" applyBorder="1" applyAlignment="1">
      <alignment horizontal="center" vertical="center"/>
    </xf>
    <xf numFmtId="164" fontId="23" fillId="0" borderId="130" xfId="0" applyNumberFormat="1" applyFont="1" applyBorder="1" applyAlignment="1">
      <alignment horizontal="center" vertical="center"/>
    </xf>
    <xf numFmtId="0" fontId="31" fillId="0" borderId="200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4" fontId="16" fillId="0" borderId="25" xfId="0" applyNumberFormat="1" applyFont="1" applyBorder="1" applyAlignment="1">
      <alignment horizontal="center" vertical="center"/>
    </xf>
    <xf numFmtId="164" fontId="23" fillId="0" borderId="81" xfId="0" applyNumberFormat="1" applyFont="1" applyBorder="1" applyAlignment="1">
      <alignment horizontal="center"/>
    </xf>
    <xf numFmtId="0" fontId="15" fillId="0" borderId="44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0" fillId="0" borderId="59" xfId="0" applyBorder="1" applyAlignment="1">
      <alignment horizontal="center" vertical="center"/>
    </xf>
    <xf numFmtId="164" fontId="15" fillId="0" borderId="132" xfId="0" applyNumberFormat="1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164" fontId="15" fillId="0" borderId="100" xfId="0" applyNumberFormat="1" applyFont="1" applyBorder="1" applyAlignment="1">
      <alignment horizontal="center"/>
    </xf>
    <xf numFmtId="164" fontId="15" fillId="0" borderId="201" xfId="0" applyNumberFormat="1" applyFont="1" applyBorder="1" applyAlignment="1">
      <alignment horizontal="center"/>
    </xf>
    <xf numFmtId="164" fontId="15" fillId="0" borderId="202" xfId="0" applyNumberFormat="1" applyFont="1" applyBorder="1" applyAlignment="1">
      <alignment horizontal="center"/>
    </xf>
    <xf numFmtId="164" fontId="37" fillId="0" borderId="158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/>
    </xf>
    <xf numFmtId="164" fontId="15" fillId="0" borderId="187" xfId="0" applyNumberFormat="1" applyFont="1" applyBorder="1" applyAlignment="1">
      <alignment horizontal="center"/>
    </xf>
    <xf numFmtId="164" fontId="15" fillId="0" borderId="77" xfId="0" applyNumberFormat="1" applyFont="1" applyBorder="1" applyAlignment="1">
      <alignment horizontal="center"/>
    </xf>
    <xf numFmtId="164" fontId="16" fillId="0" borderId="195" xfId="0" applyNumberFormat="1" applyFont="1" applyBorder="1" applyAlignment="1">
      <alignment horizontal="center"/>
    </xf>
    <xf numFmtId="164" fontId="15" fillId="0" borderId="204" xfId="0" applyNumberFormat="1" applyFont="1" applyBorder="1" applyAlignment="1">
      <alignment horizontal="center"/>
    </xf>
    <xf numFmtId="164" fontId="15" fillId="0" borderId="205" xfId="0" applyNumberFormat="1" applyFont="1" applyBorder="1" applyAlignment="1">
      <alignment horizontal="center"/>
    </xf>
    <xf numFmtId="164" fontId="15" fillId="0" borderId="206" xfId="0" applyNumberFormat="1" applyFont="1" applyBorder="1" applyAlignment="1">
      <alignment horizontal="center"/>
    </xf>
    <xf numFmtId="164" fontId="15" fillId="0" borderId="207" xfId="0" applyNumberFormat="1" applyFont="1" applyBorder="1" applyAlignment="1">
      <alignment horizontal="center"/>
    </xf>
    <xf numFmtId="164" fontId="15" fillId="0" borderId="208" xfId="0" applyNumberFormat="1" applyFont="1" applyBorder="1" applyAlignment="1">
      <alignment horizontal="center"/>
    </xf>
    <xf numFmtId="164" fontId="15" fillId="0" borderId="111" xfId="0" applyNumberFormat="1" applyFont="1" applyBorder="1" applyAlignment="1">
      <alignment horizontal="center"/>
    </xf>
    <xf numFmtId="164" fontId="15" fillId="0" borderId="209" xfId="0" applyNumberFormat="1" applyFont="1" applyBorder="1" applyAlignment="1">
      <alignment horizontal="center"/>
    </xf>
    <xf numFmtId="164" fontId="16" fillId="0" borderId="168" xfId="0" applyNumberFormat="1" applyFont="1" applyBorder="1" applyAlignment="1">
      <alignment horizontal="center"/>
    </xf>
    <xf numFmtId="164" fontId="16" fillId="0" borderId="82" xfId="0" applyNumberFormat="1" applyFont="1" applyBorder="1" applyAlignment="1">
      <alignment horizontal="center"/>
    </xf>
    <xf numFmtId="164" fontId="16" fillId="0" borderId="172" xfId="0" applyNumberFormat="1" applyFont="1" applyBorder="1" applyAlignment="1">
      <alignment horizontal="center"/>
    </xf>
    <xf numFmtId="164" fontId="15" fillId="0" borderId="76" xfId="0" applyNumberFormat="1" applyFont="1" applyBorder="1" applyAlignment="1">
      <alignment horizontal="center"/>
    </xf>
    <xf numFmtId="164" fontId="15" fillId="0" borderId="210" xfId="0" applyNumberFormat="1" applyFont="1" applyBorder="1" applyAlignment="1">
      <alignment horizontal="center"/>
    </xf>
    <xf numFmtId="164" fontId="37" fillId="0" borderId="131" xfId="0" applyNumberFormat="1" applyFont="1" applyBorder="1" applyAlignment="1">
      <alignment horizontal="center"/>
    </xf>
    <xf numFmtId="164" fontId="15" fillId="0" borderId="70" xfId="0" applyNumberFormat="1" applyFont="1" applyBorder="1" applyAlignment="1">
      <alignment horizontal="center"/>
    </xf>
    <xf numFmtId="0" fontId="31" fillId="0" borderId="184" xfId="0" applyFont="1" applyBorder="1" applyAlignment="1">
      <alignment horizontal="center" vertical="center"/>
    </xf>
    <xf numFmtId="0" fontId="31" fillId="0" borderId="158" xfId="0" applyFont="1" applyBorder="1" applyAlignment="1">
      <alignment horizontal="center" vertical="center"/>
    </xf>
    <xf numFmtId="164" fontId="16" fillId="0" borderId="211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left"/>
    </xf>
    <xf numFmtId="164" fontId="15" fillId="0" borderId="200" xfId="0" applyNumberFormat="1" applyFont="1" applyBorder="1" applyAlignment="1">
      <alignment horizontal="center"/>
    </xf>
    <xf numFmtId="164" fontId="23" fillId="0" borderId="86" xfId="0" applyNumberFormat="1" applyFont="1" applyBorder="1" applyAlignment="1">
      <alignment horizontal="center"/>
    </xf>
    <xf numFmtId="164" fontId="16" fillId="0" borderId="96" xfId="0" applyNumberFormat="1" applyFont="1" applyBorder="1" applyAlignment="1">
      <alignment horizontal="center"/>
    </xf>
    <xf numFmtId="164" fontId="15" fillId="0" borderId="212" xfId="0" applyNumberFormat="1" applyFont="1" applyBorder="1" applyAlignment="1">
      <alignment horizontal="center"/>
    </xf>
    <xf numFmtId="164" fontId="15" fillId="0" borderId="213" xfId="0" applyNumberFormat="1" applyFont="1" applyBorder="1" applyAlignment="1">
      <alignment horizontal="center"/>
    </xf>
    <xf numFmtId="164" fontId="15" fillId="0" borderId="81" xfId="0" applyNumberFormat="1" applyFont="1" applyBorder="1" applyAlignment="1">
      <alignment horizontal="center"/>
    </xf>
    <xf numFmtId="164" fontId="15" fillId="0" borderId="214" xfId="0" applyNumberFormat="1" applyFont="1" applyBorder="1" applyAlignment="1">
      <alignment horizontal="center"/>
    </xf>
    <xf numFmtId="164" fontId="15" fillId="0" borderId="215" xfId="0" applyNumberFormat="1" applyFont="1" applyBorder="1" applyAlignment="1">
      <alignment horizontal="center"/>
    </xf>
    <xf numFmtId="164" fontId="15" fillId="0" borderId="216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4" fontId="16" fillId="0" borderId="156" xfId="0" applyNumberFormat="1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 vertical="center"/>
    </xf>
    <xf numFmtId="164" fontId="15" fillId="0" borderId="8" xfId="0" applyNumberFormat="1" applyFont="1" applyBorder="1" applyAlignment="1">
      <alignment horizontal="center"/>
    </xf>
    <xf numFmtId="164" fontId="15" fillId="0" borderId="234" xfId="0" applyNumberFormat="1" applyFont="1" applyBorder="1" applyAlignment="1">
      <alignment horizontal="center"/>
    </xf>
    <xf numFmtId="164" fontId="0" fillId="0" borderId="8" xfId="0" applyNumberFormat="1" applyBorder="1"/>
    <xf numFmtId="164" fontId="15" fillId="0" borderId="94" xfId="0" applyNumberFormat="1" applyFont="1" applyBorder="1" applyAlignment="1">
      <alignment horizontal="center" vertical="center"/>
    </xf>
    <xf numFmtId="164" fontId="15" fillId="0" borderId="246" xfId="0" applyNumberFormat="1" applyFont="1" applyBorder="1" applyAlignment="1">
      <alignment horizontal="center"/>
    </xf>
    <xf numFmtId="164" fontId="15" fillId="0" borderId="238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/>
    </xf>
    <xf numFmtId="164" fontId="15" fillId="0" borderId="248" xfId="0" applyNumberFormat="1" applyFont="1" applyBorder="1" applyAlignment="1">
      <alignment horizontal="center"/>
    </xf>
    <xf numFmtId="164" fontId="15" fillId="0" borderId="54" xfId="0" applyNumberFormat="1" applyFont="1" applyBorder="1" applyAlignment="1">
      <alignment horizontal="center" vertical="center"/>
    </xf>
    <xf numFmtId="164" fontId="15" fillId="0" borderId="9" xfId="0" applyNumberFormat="1" applyFont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164" fontId="15" fillId="0" borderId="129" xfId="0" applyNumberFormat="1" applyFont="1" applyBorder="1" applyAlignment="1">
      <alignment horizontal="center" vertical="center"/>
    </xf>
    <xf numFmtId="0" fontId="0" fillId="0" borderId="8" xfId="0" applyBorder="1"/>
    <xf numFmtId="164" fontId="23" fillId="0" borderId="8" xfId="0" applyNumberFormat="1" applyFont="1" applyBorder="1" applyAlignment="1">
      <alignment horizontal="center" vertical="center"/>
    </xf>
    <xf numFmtId="164" fontId="23" fillId="0" borderId="8" xfId="0" applyNumberFormat="1" applyFont="1" applyBorder="1" applyAlignment="1">
      <alignment horizontal="center"/>
    </xf>
    <xf numFmtId="164" fontId="15" fillId="0" borderId="69" xfId="0" applyNumberFormat="1" applyFont="1" applyBorder="1" applyAlignment="1">
      <alignment horizontal="center" vertical="center"/>
    </xf>
    <xf numFmtId="164" fontId="15" fillId="0" borderId="268" xfId="0" applyNumberFormat="1" applyFont="1" applyBorder="1" applyAlignment="1">
      <alignment horizontal="center"/>
    </xf>
    <xf numFmtId="164" fontId="15" fillId="0" borderId="52" xfId="0" applyNumberFormat="1" applyFont="1" applyBorder="1" applyAlignment="1">
      <alignment horizontal="center" vertical="center"/>
    </xf>
    <xf numFmtId="164" fontId="15" fillId="0" borderId="269" xfId="0" applyNumberFormat="1" applyFont="1" applyBorder="1" applyAlignment="1">
      <alignment horizontal="center"/>
    </xf>
    <xf numFmtId="164" fontId="15" fillId="0" borderId="83" xfId="0" applyNumberFormat="1" applyFont="1" applyBorder="1" applyAlignment="1">
      <alignment horizontal="center" vertical="center"/>
    </xf>
    <xf numFmtId="164" fontId="37" fillId="0" borderId="198" xfId="0" applyNumberFormat="1" applyFont="1" applyBorder="1" applyAlignment="1">
      <alignment horizontal="center"/>
    </xf>
    <xf numFmtId="164" fontId="37" fillId="0" borderId="149" xfId="0" applyNumberFormat="1" applyFont="1" applyBorder="1" applyAlignment="1">
      <alignment horizontal="center" vertical="center"/>
    </xf>
    <xf numFmtId="164" fontId="37" fillId="0" borderId="146" xfId="0" applyNumberFormat="1" applyFont="1" applyBorder="1" applyAlignment="1">
      <alignment horizontal="center" vertical="center"/>
    </xf>
    <xf numFmtId="164" fontId="37" fillId="0" borderId="150" xfId="0" applyNumberFormat="1" applyFont="1" applyBorder="1" applyAlignment="1">
      <alignment horizontal="center" vertical="center"/>
    </xf>
    <xf numFmtId="164" fontId="37" fillId="0" borderId="151" xfId="0" applyNumberFormat="1" applyFont="1" applyBorder="1" applyAlignment="1">
      <alignment horizontal="center" vertical="center"/>
    </xf>
    <xf numFmtId="164" fontId="37" fillId="0" borderId="175" xfId="0" applyNumberFormat="1" applyFont="1" applyBorder="1" applyAlignment="1">
      <alignment horizontal="center" vertical="center"/>
    </xf>
    <xf numFmtId="164" fontId="37" fillId="0" borderId="153" xfId="0" applyNumberFormat="1" applyFont="1" applyBorder="1" applyAlignment="1">
      <alignment horizontal="center" vertical="center"/>
    </xf>
    <xf numFmtId="164" fontId="23" fillId="0" borderId="202" xfId="0" applyNumberFormat="1" applyFont="1" applyBorder="1" applyAlignment="1">
      <alignment horizontal="center" vertical="center"/>
    </xf>
    <xf numFmtId="164" fontId="23" fillId="0" borderId="154" xfId="0" applyNumberFormat="1" applyFont="1" applyBorder="1" applyAlignment="1">
      <alignment horizontal="center" vertical="center"/>
    </xf>
    <xf numFmtId="164" fontId="37" fillId="0" borderId="272" xfId="0" applyNumberFormat="1" applyFont="1" applyBorder="1" applyAlignment="1">
      <alignment horizontal="center" vertical="center"/>
    </xf>
    <xf numFmtId="0" fontId="23" fillId="0" borderId="202" xfId="0" applyFont="1" applyBorder="1" applyAlignment="1">
      <alignment horizontal="center" vertical="center"/>
    </xf>
    <xf numFmtId="0" fontId="23" fillId="0" borderId="150" xfId="0" applyFont="1" applyBorder="1" applyAlignment="1">
      <alignment horizontal="center" vertical="center"/>
    </xf>
    <xf numFmtId="164" fontId="15" fillId="0" borderId="206" xfId="0" applyNumberFormat="1" applyFont="1" applyBorder="1" applyAlignment="1">
      <alignment horizontal="center" vertical="center"/>
    </xf>
    <xf numFmtId="164" fontId="15" fillId="0" borderId="110" xfId="0" applyNumberFormat="1" applyFont="1" applyBorder="1" applyAlignment="1">
      <alignment horizontal="center" vertical="center"/>
    </xf>
    <xf numFmtId="164" fontId="15" fillId="0" borderId="156" xfId="0" applyNumberFormat="1" applyFont="1" applyBorder="1" applyAlignment="1">
      <alignment horizontal="center" vertical="center"/>
    </xf>
    <xf numFmtId="0" fontId="23" fillId="0" borderId="149" xfId="0" applyFont="1" applyBorder="1" applyAlignment="1">
      <alignment horizontal="center" vertical="center"/>
    </xf>
    <xf numFmtId="0" fontId="23" fillId="0" borderId="276" xfId="0" applyFont="1" applyBorder="1" applyAlignment="1">
      <alignment horizontal="center" vertical="center"/>
    </xf>
    <xf numFmtId="164" fontId="23" fillId="0" borderId="146" xfId="0" applyNumberFormat="1" applyFont="1" applyBorder="1" applyAlignment="1">
      <alignment horizontal="center" vertical="center"/>
    </xf>
    <xf numFmtId="164" fontId="15" fillId="0" borderId="82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164" fontId="15" fillId="0" borderId="10" xfId="0" applyNumberFormat="1" applyFont="1" applyBorder="1" applyAlignment="1">
      <alignment horizontal="center" vertical="center"/>
    </xf>
    <xf numFmtId="164" fontId="15" fillId="0" borderId="287" xfId="0" applyNumberFormat="1" applyFont="1" applyBorder="1" applyAlignment="1">
      <alignment horizontal="center"/>
    </xf>
    <xf numFmtId="164" fontId="15" fillId="0" borderId="61" xfId="0" applyNumberFormat="1" applyFont="1" applyBorder="1" applyAlignment="1">
      <alignment horizontal="center" vertical="center"/>
    </xf>
    <xf numFmtId="164" fontId="15" fillId="0" borderId="44" xfId="0" applyNumberFormat="1" applyFont="1" applyBorder="1" applyAlignment="1">
      <alignment horizontal="center" vertical="center"/>
    </xf>
    <xf numFmtId="164" fontId="15" fillId="0" borderId="111" xfId="0" applyNumberFormat="1" applyFont="1" applyBorder="1" applyAlignment="1">
      <alignment horizontal="center" vertical="center"/>
    </xf>
    <xf numFmtId="164" fontId="15" fillId="0" borderId="70" xfId="0" applyNumberFormat="1" applyFont="1" applyBorder="1" applyAlignment="1">
      <alignment horizontal="center" vertical="center"/>
    </xf>
    <xf numFmtId="164" fontId="15" fillId="0" borderId="288" xfId="0" applyNumberFormat="1" applyFont="1" applyBorder="1" applyAlignment="1">
      <alignment horizontal="center"/>
    </xf>
    <xf numFmtId="164" fontId="15" fillId="0" borderId="100" xfId="0" applyNumberFormat="1" applyFont="1" applyBorder="1" applyAlignment="1">
      <alignment horizontal="center" vertical="center"/>
    </xf>
    <xf numFmtId="164" fontId="23" fillId="0" borderId="9" xfId="0" applyNumberFormat="1" applyFont="1" applyBorder="1" applyAlignment="1">
      <alignment horizontal="center" vertical="center"/>
    </xf>
    <xf numFmtId="164" fontId="23" fillId="0" borderId="59" xfId="0" applyNumberFormat="1" applyFont="1" applyBorder="1" applyAlignment="1">
      <alignment horizontal="center" vertical="center"/>
    </xf>
    <xf numFmtId="164" fontId="15" fillId="0" borderId="59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28" fillId="0" borderId="64" xfId="0" applyFont="1" applyBorder="1" applyAlignment="1">
      <alignment horizontal="left" vertical="center"/>
    </xf>
    <xf numFmtId="0" fontId="40" fillId="0" borderId="237" xfId="0" applyFont="1" applyBorder="1" applyAlignment="1">
      <alignment horizontal="left" vertical="center"/>
    </xf>
    <xf numFmtId="0" fontId="40" fillId="0" borderId="95" xfId="0" applyFont="1" applyBorder="1" applyAlignment="1">
      <alignment horizontal="left" vertical="center"/>
    </xf>
    <xf numFmtId="0" fontId="40" fillId="0" borderId="110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20" fillId="0" borderId="100" xfId="0" applyFont="1" applyBorder="1" applyAlignment="1">
      <alignment horizontal="left" vertical="center"/>
    </xf>
    <xf numFmtId="0" fontId="40" fillId="0" borderId="147" xfId="0" applyFont="1" applyBorder="1" applyAlignment="1">
      <alignment horizontal="left" vertical="center"/>
    </xf>
    <xf numFmtId="0" fontId="28" fillId="0" borderId="82" xfId="0" applyFont="1" applyBorder="1" applyAlignment="1">
      <alignment horizontal="left" vertical="center"/>
    </xf>
    <xf numFmtId="0" fontId="40" fillId="0" borderId="91" xfId="0" applyFont="1" applyBorder="1" applyAlignment="1">
      <alignment horizontal="left" vertical="center"/>
    </xf>
    <xf numFmtId="0" fontId="40" fillId="0" borderId="146" xfId="0" applyFont="1" applyBorder="1" applyAlignment="1">
      <alignment horizontal="left" vertical="center"/>
    </xf>
    <xf numFmtId="0" fontId="40" fillId="0" borderId="14" xfId="0" applyFont="1" applyBorder="1" applyAlignment="1">
      <alignment horizontal="left" vertical="center"/>
    </xf>
    <xf numFmtId="0" fontId="20" fillId="0" borderId="54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8" fillId="0" borderId="286" xfId="0" applyFont="1" applyBorder="1" applyAlignment="1">
      <alignment horizontal="left" vertical="center"/>
    </xf>
    <xf numFmtId="0" fontId="40" fillId="0" borderId="201" xfId="0" applyFont="1" applyBorder="1" applyAlignment="1">
      <alignment horizontal="left" vertical="center"/>
    </xf>
    <xf numFmtId="0" fontId="40" fillId="0" borderId="188" xfId="0" applyFont="1" applyBorder="1" applyAlignment="1">
      <alignment horizontal="left" vertical="center"/>
    </xf>
    <xf numFmtId="0" fontId="20" fillId="0" borderId="265" xfId="0" applyFont="1" applyBorder="1" applyAlignment="1">
      <alignment horizontal="left" vertical="center"/>
    </xf>
    <xf numFmtId="0" fontId="40" fillId="0" borderId="132" xfId="0" applyFont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0" fontId="40" fillId="0" borderId="9" xfId="0" applyFont="1" applyBorder="1" applyAlignment="1">
      <alignment horizontal="left" vertical="center"/>
    </xf>
    <xf numFmtId="164" fontId="15" fillId="0" borderId="65" xfId="0" applyNumberFormat="1" applyFont="1" applyBorder="1" applyAlignment="1">
      <alignment horizontal="center" vertical="center"/>
    </xf>
    <xf numFmtId="164" fontId="28" fillId="0" borderId="58" xfId="0" applyNumberFormat="1" applyFont="1" applyBorder="1" applyAlignment="1">
      <alignment horizontal="center" vertical="center" wrapText="1"/>
    </xf>
    <xf numFmtId="164" fontId="29" fillId="0" borderId="60" xfId="0" applyNumberFormat="1" applyFont="1" applyBorder="1" applyAlignment="1">
      <alignment horizontal="center" vertical="center" wrapText="1"/>
    </xf>
    <xf numFmtId="164" fontId="29" fillId="0" borderId="266" xfId="0" applyNumberFormat="1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 wrapText="1"/>
    </xf>
    <xf numFmtId="0" fontId="30" fillId="0" borderId="267" xfId="0" applyFont="1" applyBorder="1" applyAlignment="1">
      <alignment horizontal="center" vertical="center" wrapText="1"/>
    </xf>
    <xf numFmtId="164" fontId="15" fillId="0" borderId="146" xfId="0" applyNumberFormat="1" applyFont="1" applyBorder="1" applyAlignment="1">
      <alignment horizontal="center" vertical="center"/>
    </xf>
    <xf numFmtId="164" fontId="16" fillId="0" borderId="203" xfId="0" applyNumberFormat="1" applyFont="1" applyBorder="1" applyAlignment="1">
      <alignment horizontal="center" vertical="center"/>
    </xf>
    <xf numFmtId="164" fontId="16" fillId="0" borderId="83" xfId="0" applyNumberFormat="1" applyFont="1" applyBorder="1" applyAlignment="1">
      <alignment horizontal="center" vertical="center"/>
    </xf>
    <xf numFmtId="164" fontId="16" fillId="0" borderId="92" xfId="0" applyNumberFormat="1" applyFont="1" applyBorder="1" applyAlignment="1">
      <alignment horizontal="center" vertical="center"/>
    </xf>
    <xf numFmtId="164" fontId="15" fillId="0" borderId="8" xfId="0" applyNumberFormat="1" applyFont="1" applyBorder="1" applyAlignment="1">
      <alignment horizontal="center" vertical="center"/>
    </xf>
    <xf numFmtId="164" fontId="15" fillId="0" borderId="232" xfId="0" applyNumberFormat="1" applyFont="1" applyBorder="1" applyAlignment="1">
      <alignment horizontal="center" vertical="center"/>
    </xf>
    <xf numFmtId="164" fontId="15" fillId="0" borderId="81" xfId="0" applyNumberFormat="1" applyFont="1" applyBorder="1" applyAlignment="1">
      <alignment horizontal="center" vertical="center"/>
    </xf>
    <xf numFmtId="164" fontId="16" fillId="0" borderId="52" xfId="0" applyNumberFormat="1" applyFont="1" applyBorder="1" applyAlignment="1">
      <alignment horizontal="center" vertical="center"/>
    </xf>
    <xf numFmtId="164" fontId="16" fillId="0" borderId="65" xfId="0" applyNumberFormat="1" applyFont="1" applyBorder="1" applyAlignment="1">
      <alignment horizontal="center" vertical="center"/>
    </xf>
    <xf numFmtId="164" fontId="16" fillId="0" borderId="81" xfId="0" applyNumberFormat="1" applyFont="1" applyBorder="1" applyAlignment="1">
      <alignment horizontal="center" vertical="center"/>
    </xf>
    <xf numFmtId="164" fontId="15" fillId="0" borderId="203" xfId="0" applyNumberFormat="1" applyFont="1" applyBorder="1" applyAlignment="1">
      <alignment horizontal="center" vertical="center"/>
    </xf>
    <xf numFmtId="164" fontId="15" fillId="0" borderId="92" xfId="0" applyNumberFormat="1" applyFont="1" applyBorder="1" applyAlignment="1">
      <alignment horizontal="center" vertical="center"/>
    </xf>
    <xf numFmtId="164" fontId="15" fillId="0" borderId="74" xfId="0" applyNumberFormat="1" applyFont="1" applyBorder="1" applyAlignment="1">
      <alignment horizontal="center" vertical="center"/>
    </xf>
    <xf numFmtId="164" fontId="15" fillId="0" borderId="106" xfId="0" applyNumberFormat="1" applyFont="1" applyBorder="1" applyAlignment="1">
      <alignment horizontal="center" vertical="center"/>
    </xf>
    <xf numFmtId="164" fontId="16" fillId="0" borderId="156" xfId="0" applyNumberFormat="1" applyFont="1" applyBorder="1" applyAlignment="1">
      <alignment horizontal="center" vertical="center"/>
    </xf>
    <xf numFmtId="164" fontId="16" fillId="0" borderId="109" xfId="0" applyNumberFormat="1" applyFont="1" applyBorder="1" applyAlignment="1">
      <alignment horizontal="center" vertical="center"/>
    </xf>
    <xf numFmtId="164" fontId="16" fillId="0" borderId="111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195" xfId="0" applyNumberFormat="1" applyFont="1" applyBorder="1" applyAlignment="1">
      <alignment horizontal="center" vertical="center"/>
    </xf>
    <xf numFmtId="164" fontId="15" fillId="0" borderId="140" xfId="0" applyNumberFormat="1" applyFont="1" applyBorder="1" applyAlignment="1">
      <alignment horizontal="center" vertical="center"/>
    </xf>
    <xf numFmtId="164" fontId="15" fillId="0" borderId="265" xfId="0" applyNumberFormat="1" applyFont="1" applyBorder="1" applyAlignment="1">
      <alignment horizontal="center" vertical="center"/>
    </xf>
    <xf numFmtId="164" fontId="15" fillId="0" borderId="247" xfId="0" applyNumberFormat="1" applyFont="1" applyBorder="1" applyAlignment="1">
      <alignment horizontal="center" vertical="center"/>
    </xf>
    <xf numFmtId="164" fontId="15" fillId="0" borderId="246" xfId="0" applyNumberFormat="1" applyFont="1" applyBorder="1" applyAlignment="1">
      <alignment horizontal="center" vertical="center"/>
    </xf>
    <xf numFmtId="164" fontId="15" fillId="0" borderId="164" xfId="0" applyNumberFormat="1" applyFont="1" applyBorder="1" applyAlignment="1">
      <alignment horizontal="center" vertical="center"/>
    </xf>
    <xf numFmtId="164" fontId="15" fillId="0" borderId="281" xfId="0" applyNumberFormat="1" applyFont="1" applyBorder="1" applyAlignment="1">
      <alignment horizontal="center" vertical="center"/>
    </xf>
    <xf numFmtId="164" fontId="15" fillId="0" borderId="172" xfId="0" applyNumberFormat="1" applyFont="1" applyBorder="1" applyAlignment="1">
      <alignment horizontal="center" vertical="center"/>
    </xf>
    <xf numFmtId="164" fontId="15" fillId="0" borderId="72" xfId="0" applyNumberFormat="1" applyFont="1" applyBorder="1" applyAlignment="1">
      <alignment horizontal="center" vertical="center"/>
    </xf>
    <xf numFmtId="164" fontId="15" fillId="0" borderId="257" xfId="0" applyNumberFormat="1" applyFont="1" applyBorder="1" applyAlignment="1">
      <alignment horizontal="center" vertical="center"/>
    </xf>
    <xf numFmtId="164" fontId="15" fillId="0" borderId="235" xfId="0" applyNumberFormat="1" applyFont="1" applyBorder="1" applyAlignment="1">
      <alignment horizontal="center" vertical="center"/>
    </xf>
    <xf numFmtId="164" fontId="15" fillId="0" borderId="274" xfId="0" applyNumberFormat="1" applyFont="1" applyBorder="1" applyAlignment="1">
      <alignment horizontal="center" vertical="center"/>
    </xf>
    <xf numFmtId="164" fontId="15" fillId="0" borderId="253" xfId="0" applyNumberFormat="1" applyFont="1" applyBorder="1" applyAlignment="1">
      <alignment horizontal="center" vertical="center"/>
    </xf>
    <xf numFmtId="164" fontId="15" fillId="0" borderId="80" xfId="0" applyNumberFormat="1" applyFont="1" applyBorder="1" applyAlignment="1">
      <alignment horizontal="center" vertical="center"/>
    </xf>
    <xf numFmtId="164" fontId="15" fillId="0" borderId="16" xfId="0" applyNumberFormat="1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164" fontId="15" fillId="0" borderId="217" xfId="0" applyNumberFormat="1" applyFont="1" applyBorder="1" applyAlignment="1">
      <alignment horizontal="center" vertical="center"/>
    </xf>
    <xf numFmtId="164" fontId="15" fillId="0" borderId="280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64" fontId="15" fillId="0" borderId="290" xfId="0" applyNumberFormat="1" applyFont="1" applyBorder="1" applyAlignment="1">
      <alignment horizontal="center" vertical="center"/>
    </xf>
    <xf numFmtId="164" fontId="15" fillId="0" borderId="150" xfId="0" applyNumberFormat="1" applyFont="1" applyBorder="1" applyAlignment="1">
      <alignment horizontal="center" vertical="center"/>
    </xf>
    <xf numFmtId="164" fontId="15" fillId="0" borderId="276" xfId="0" applyNumberFormat="1" applyFont="1" applyBorder="1" applyAlignment="1">
      <alignment horizontal="center" vertical="center"/>
    </xf>
    <xf numFmtId="164" fontId="15" fillId="0" borderId="262" xfId="0" applyNumberFormat="1" applyFont="1" applyBorder="1" applyAlignment="1">
      <alignment horizontal="center" vertical="center"/>
    </xf>
    <xf numFmtId="164" fontId="15" fillId="0" borderId="258" xfId="0" applyNumberFormat="1" applyFont="1" applyBorder="1" applyAlignment="1">
      <alignment horizontal="center" vertical="center"/>
    </xf>
    <xf numFmtId="164" fontId="15" fillId="0" borderId="275" xfId="0" applyNumberFormat="1" applyFont="1" applyBorder="1" applyAlignment="1">
      <alignment horizontal="center" vertical="center"/>
    </xf>
    <xf numFmtId="164" fontId="15" fillId="0" borderId="181" xfId="0" applyNumberFormat="1" applyFont="1" applyBorder="1" applyAlignment="1">
      <alignment horizontal="center" vertical="center"/>
    </xf>
    <xf numFmtId="164" fontId="15" fillId="0" borderId="88" xfId="0" applyNumberFormat="1" applyFont="1" applyBorder="1" applyAlignment="1">
      <alignment horizontal="center" vertical="center"/>
    </xf>
    <xf numFmtId="164" fontId="15" fillId="0" borderId="143" xfId="0" applyNumberFormat="1" applyFont="1" applyBorder="1" applyAlignment="1">
      <alignment horizontal="center" vertical="center"/>
    </xf>
    <xf numFmtId="164" fontId="15" fillId="0" borderId="263" xfId="0" applyNumberFormat="1" applyFont="1" applyBorder="1" applyAlignment="1">
      <alignment horizontal="center" vertical="center"/>
    </xf>
    <xf numFmtId="164" fontId="15" fillId="0" borderId="171" xfId="0" applyNumberFormat="1" applyFont="1" applyBorder="1" applyAlignment="1">
      <alignment horizontal="center" vertical="center"/>
    </xf>
    <xf numFmtId="164" fontId="15" fillId="0" borderId="277" xfId="0" applyNumberFormat="1" applyFont="1" applyBorder="1" applyAlignment="1">
      <alignment horizontal="center" vertical="center"/>
    </xf>
    <xf numFmtId="164" fontId="15" fillId="0" borderId="87" xfId="0" applyNumberFormat="1" applyFont="1" applyBorder="1" applyAlignment="1">
      <alignment horizontal="center" vertical="center"/>
    </xf>
    <xf numFmtId="164" fontId="15" fillId="0" borderId="282" xfId="0" applyNumberFormat="1" applyFont="1" applyBorder="1" applyAlignment="1">
      <alignment horizontal="center" vertical="center"/>
    </xf>
    <xf numFmtId="164" fontId="15" fillId="0" borderId="169" xfId="0" applyNumberFormat="1" applyFont="1" applyBorder="1" applyAlignment="1">
      <alignment horizontal="center" vertical="center"/>
    </xf>
    <xf numFmtId="164" fontId="15" fillId="0" borderId="201" xfId="0" applyNumberFormat="1" applyFont="1" applyBorder="1" applyAlignment="1">
      <alignment horizontal="center" vertical="center"/>
    </xf>
    <xf numFmtId="164" fontId="15" fillId="0" borderId="90" xfId="0" applyNumberFormat="1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15" fillId="0" borderId="287" xfId="0" applyNumberFormat="1" applyFont="1" applyBorder="1" applyAlignment="1">
      <alignment horizontal="center" vertical="center"/>
    </xf>
    <xf numFmtId="164" fontId="15" fillId="0" borderId="114" xfId="0" applyNumberFormat="1" applyFont="1" applyBorder="1" applyAlignment="1">
      <alignment horizontal="center" vertical="center"/>
    </xf>
    <xf numFmtId="164" fontId="15" fillId="0" borderId="271" xfId="0" applyNumberFormat="1" applyFont="1" applyBorder="1" applyAlignment="1">
      <alignment horizontal="center" vertical="center"/>
    </xf>
    <xf numFmtId="164" fontId="15" fillId="0" borderId="252" xfId="0" applyNumberFormat="1" applyFont="1" applyBorder="1" applyAlignment="1">
      <alignment horizontal="center" vertical="center"/>
    </xf>
    <xf numFmtId="164" fontId="15" fillId="0" borderId="233" xfId="0" applyNumberFormat="1" applyFont="1" applyBorder="1" applyAlignment="1">
      <alignment horizontal="center" vertical="center"/>
    </xf>
    <xf numFmtId="164" fontId="15" fillId="0" borderId="278" xfId="0" applyNumberFormat="1" applyFont="1" applyBorder="1" applyAlignment="1">
      <alignment horizontal="center" vertical="center"/>
    </xf>
    <xf numFmtId="164" fontId="15" fillId="0" borderId="229" xfId="0" applyNumberFormat="1" applyFont="1" applyBorder="1" applyAlignment="1">
      <alignment horizontal="center" vertical="center"/>
    </xf>
    <xf numFmtId="164" fontId="15" fillId="0" borderId="279" xfId="0" applyNumberFormat="1" applyFont="1" applyBorder="1" applyAlignment="1">
      <alignment horizontal="center" vertical="center"/>
    </xf>
    <xf numFmtId="164" fontId="15" fillId="0" borderId="222" xfId="0" applyNumberFormat="1" applyFont="1" applyBorder="1" applyAlignment="1">
      <alignment horizontal="center" vertical="center"/>
    </xf>
    <xf numFmtId="164" fontId="15" fillId="0" borderId="225" xfId="0" applyNumberFormat="1" applyFont="1" applyBorder="1" applyAlignment="1">
      <alignment horizontal="center" vertical="center"/>
    </xf>
    <xf numFmtId="164" fontId="15" fillId="0" borderId="226" xfId="0" applyNumberFormat="1" applyFont="1" applyBorder="1" applyAlignment="1">
      <alignment horizontal="center" vertical="center"/>
    </xf>
    <xf numFmtId="164" fontId="15" fillId="0" borderId="228" xfId="0" applyNumberFormat="1" applyFont="1" applyBorder="1" applyAlignment="1">
      <alignment horizontal="center" vertical="center"/>
    </xf>
    <xf numFmtId="164" fontId="16" fillId="0" borderId="229" xfId="0" applyNumberFormat="1" applyFont="1" applyBorder="1" applyAlignment="1">
      <alignment horizontal="center" vertical="center"/>
    </xf>
    <xf numFmtId="164" fontId="15" fillId="0" borderId="230" xfId="0" applyNumberFormat="1" applyFont="1" applyBorder="1" applyAlignment="1">
      <alignment horizontal="center" vertical="center"/>
    </xf>
    <xf numFmtId="164" fontId="16" fillId="0" borderId="231" xfId="0" applyNumberFormat="1" applyFont="1" applyBorder="1" applyAlignment="1">
      <alignment horizontal="center" vertical="center"/>
    </xf>
    <xf numFmtId="164" fontId="16" fillId="0" borderId="8" xfId="0" applyNumberFormat="1" applyFont="1" applyBorder="1" applyAlignment="1">
      <alignment horizontal="center" vertical="center"/>
    </xf>
    <xf numFmtId="164" fontId="16" fillId="0" borderId="227" xfId="0" applyNumberFormat="1" applyFont="1" applyBorder="1" applyAlignment="1">
      <alignment horizontal="center" vertical="center"/>
    </xf>
    <xf numFmtId="164" fontId="16" fillId="0" borderId="232" xfId="0" applyNumberFormat="1" applyFont="1" applyBorder="1" applyAlignment="1">
      <alignment horizontal="center" vertical="center"/>
    </xf>
    <xf numFmtId="164" fontId="15" fillId="0" borderId="219" xfId="0" applyNumberFormat="1" applyFont="1" applyBorder="1" applyAlignment="1">
      <alignment horizontal="center" vertical="center"/>
    </xf>
    <xf numFmtId="164" fontId="15" fillId="0" borderId="220" xfId="0" applyNumberFormat="1" applyFont="1" applyBorder="1" applyAlignment="1">
      <alignment horizontal="center" vertical="center"/>
    </xf>
    <xf numFmtId="164" fontId="15" fillId="0" borderId="142" xfId="0" applyNumberFormat="1" applyFont="1" applyBorder="1" applyAlignment="1">
      <alignment horizontal="center" vertical="center"/>
    </xf>
    <xf numFmtId="164" fontId="16" fillId="0" borderId="221" xfId="0" applyNumberFormat="1" applyFont="1" applyBorder="1" applyAlignment="1">
      <alignment horizontal="center" vertical="center"/>
    </xf>
    <xf numFmtId="164" fontId="15" fillId="0" borderId="223" xfId="0" applyNumberFormat="1" applyFont="1" applyBorder="1" applyAlignment="1">
      <alignment horizontal="center" vertical="center"/>
    </xf>
    <xf numFmtId="164" fontId="15" fillId="0" borderId="224" xfId="0" applyNumberFormat="1" applyFont="1" applyBorder="1" applyAlignment="1">
      <alignment horizontal="center" vertical="center"/>
    </xf>
    <xf numFmtId="164" fontId="15" fillId="0" borderId="204" xfId="0" applyNumberFormat="1" applyFont="1" applyBorder="1" applyAlignment="1">
      <alignment horizontal="center" vertical="center"/>
    </xf>
    <xf numFmtId="164" fontId="15" fillId="0" borderId="205" xfId="0" applyNumberFormat="1" applyFont="1" applyBorder="1" applyAlignment="1">
      <alignment horizontal="center" vertical="center"/>
    </xf>
    <xf numFmtId="164" fontId="15" fillId="0" borderId="207" xfId="0" applyNumberFormat="1" applyFont="1" applyBorder="1" applyAlignment="1">
      <alignment horizontal="center" vertical="center"/>
    </xf>
    <xf numFmtId="164" fontId="15" fillId="0" borderId="196" xfId="0" applyNumberFormat="1" applyFont="1" applyBorder="1" applyAlignment="1">
      <alignment horizontal="center" vertical="center"/>
    </xf>
    <xf numFmtId="164" fontId="15" fillId="0" borderId="208" xfId="0" applyNumberFormat="1" applyFont="1" applyBorder="1" applyAlignment="1">
      <alignment horizontal="center" vertical="center"/>
    </xf>
    <xf numFmtId="164" fontId="15" fillId="0" borderId="117" xfId="0" applyNumberFormat="1" applyFont="1" applyBorder="1" applyAlignment="1">
      <alignment horizontal="center" vertical="center"/>
    </xf>
    <xf numFmtId="164" fontId="15" fillId="0" borderId="109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5" fillId="0" borderId="144" xfId="0" applyNumberFormat="1" applyFont="1" applyBorder="1" applyAlignment="1">
      <alignment horizontal="center" vertical="center"/>
    </xf>
    <xf numFmtId="164" fontId="15" fillId="0" borderId="126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26" xfId="0" applyFont="1" applyBorder="1" applyAlignment="1">
      <alignment horizontal="center" vertical="center"/>
    </xf>
    <xf numFmtId="164" fontId="15" fillId="0" borderId="241" xfId="0" applyNumberFormat="1" applyFont="1" applyBorder="1" applyAlignment="1">
      <alignment horizontal="center" vertical="center"/>
    </xf>
    <xf numFmtId="164" fontId="15" fillId="0" borderId="243" xfId="0" applyNumberFormat="1" applyFont="1" applyBorder="1" applyAlignment="1">
      <alignment horizontal="center" vertical="center"/>
    </xf>
    <xf numFmtId="164" fontId="15" fillId="0" borderId="242" xfId="0" applyNumberFormat="1" applyFont="1" applyBorder="1" applyAlignment="1">
      <alignment horizontal="center" vertical="center"/>
    </xf>
    <xf numFmtId="164" fontId="15" fillId="0" borderId="244" xfId="0" applyNumberFormat="1" applyFont="1" applyBorder="1" applyAlignment="1">
      <alignment horizontal="center" vertical="center"/>
    </xf>
    <xf numFmtId="164" fontId="15" fillId="0" borderId="249" xfId="0" applyNumberFormat="1" applyFont="1" applyBorder="1" applyAlignment="1">
      <alignment horizontal="center" vertical="center"/>
    </xf>
    <xf numFmtId="0" fontId="15" fillId="0" borderId="235" xfId="0" applyFont="1" applyBorder="1" applyAlignment="1">
      <alignment horizontal="center" vertical="center"/>
    </xf>
    <xf numFmtId="0" fontId="15" fillId="0" borderId="236" xfId="0" applyFont="1" applyBorder="1" applyAlignment="1">
      <alignment horizontal="center" vertical="center"/>
    </xf>
    <xf numFmtId="0" fontId="15" fillId="0" borderId="124" xfId="0" applyFont="1" applyBorder="1" applyAlignment="1">
      <alignment horizontal="center" vertical="center"/>
    </xf>
    <xf numFmtId="164" fontId="15" fillId="0" borderId="236" xfId="0" applyNumberFormat="1" applyFont="1" applyBorder="1" applyAlignment="1">
      <alignment horizontal="center" vertical="center"/>
    </xf>
    <xf numFmtId="164" fontId="15" fillId="0" borderId="47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25" xfId="0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164" fontId="15" fillId="0" borderId="48" xfId="0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vertical="center"/>
    </xf>
    <xf numFmtId="164" fontId="16" fillId="0" borderId="5" xfId="0" applyNumberFormat="1" applyFont="1" applyBorder="1" applyAlignment="1">
      <alignment horizontal="center" vertical="center"/>
    </xf>
    <xf numFmtId="164" fontId="15" fillId="0" borderId="125" xfId="0" applyNumberFormat="1" applyFont="1" applyBorder="1" applyAlignment="1">
      <alignment horizontal="center" vertical="center"/>
    </xf>
    <xf numFmtId="164" fontId="15" fillId="0" borderId="259" xfId="0" applyNumberFormat="1" applyFont="1" applyBorder="1" applyAlignment="1">
      <alignment horizontal="center" vertical="center"/>
    </xf>
    <xf numFmtId="164" fontId="15" fillId="0" borderId="260" xfId="0" applyNumberFormat="1" applyFont="1" applyBorder="1" applyAlignment="1">
      <alignment horizontal="center" vertical="center"/>
    </xf>
    <xf numFmtId="164" fontId="15" fillId="0" borderId="264" xfId="0" applyNumberFormat="1" applyFont="1" applyBorder="1" applyAlignment="1">
      <alignment horizontal="center" vertical="center"/>
    </xf>
    <xf numFmtId="164" fontId="15" fillId="0" borderId="183" xfId="0" applyNumberFormat="1" applyFont="1" applyBorder="1" applyAlignment="1">
      <alignment horizontal="center" vertical="center"/>
    </xf>
    <xf numFmtId="164" fontId="15" fillId="0" borderId="234" xfId="0" applyNumberFormat="1" applyFont="1" applyBorder="1" applyAlignment="1">
      <alignment horizontal="center" vertical="center"/>
    </xf>
    <xf numFmtId="164" fontId="15" fillId="0" borderId="255" xfId="0" applyNumberFormat="1" applyFont="1" applyBorder="1" applyAlignment="1">
      <alignment horizontal="center" vertical="center"/>
    </xf>
    <xf numFmtId="164" fontId="15" fillId="0" borderId="256" xfId="0" applyNumberFormat="1" applyFont="1" applyBorder="1" applyAlignment="1">
      <alignment horizontal="center" vertical="center"/>
    </xf>
    <xf numFmtId="164" fontId="15" fillId="0" borderId="285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4" fontId="15" fillId="0" borderId="152" xfId="0" applyNumberFormat="1" applyFont="1" applyBorder="1" applyAlignment="1">
      <alignment horizontal="center" vertical="center"/>
    </xf>
    <xf numFmtId="164" fontId="16" fillId="0" borderId="259" xfId="0" applyNumberFormat="1" applyFont="1" applyBorder="1" applyAlignment="1">
      <alignment horizontal="center" vertical="center"/>
    </xf>
    <xf numFmtId="164" fontId="15" fillId="0" borderId="273" xfId="0" applyNumberFormat="1" applyFont="1" applyBorder="1" applyAlignment="1">
      <alignment horizontal="center" vertical="center"/>
    </xf>
    <xf numFmtId="164" fontId="15" fillId="0" borderId="191" xfId="0" applyNumberFormat="1" applyFont="1" applyBorder="1" applyAlignment="1">
      <alignment horizontal="center" vertical="center"/>
    </xf>
    <xf numFmtId="164" fontId="16" fillId="0" borderId="129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15" fillId="0" borderId="166" xfId="0" applyNumberFormat="1" applyFont="1" applyBorder="1" applyAlignment="1">
      <alignment horizontal="center" vertical="center"/>
    </xf>
    <xf numFmtId="164" fontId="15" fillId="0" borderId="168" xfId="0" applyNumberFormat="1" applyFont="1" applyBorder="1" applyAlignment="1">
      <alignment horizontal="center" vertical="center"/>
    </xf>
    <xf numFmtId="164" fontId="15" fillId="0" borderId="170" xfId="0" applyNumberFormat="1" applyFont="1" applyBorder="1" applyAlignment="1">
      <alignment horizontal="center" vertical="center"/>
    </xf>
    <xf numFmtId="164" fontId="15" fillId="0" borderId="154" xfId="0" applyNumberFormat="1" applyFont="1" applyBorder="1" applyAlignment="1">
      <alignment horizontal="center" vertical="center"/>
    </xf>
    <xf numFmtId="164" fontId="15" fillId="0" borderId="153" xfId="0" applyNumberFormat="1" applyFont="1" applyBorder="1" applyAlignment="1">
      <alignment horizontal="center" vertical="center"/>
    </xf>
    <xf numFmtId="164" fontId="15" fillId="0" borderId="155" xfId="0" applyNumberFormat="1" applyFont="1" applyBorder="1" applyAlignment="1">
      <alignment horizontal="center" vertical="center"/>
    </xf>
    <xf numFmtId="164" fontId="15" fillId="0" borderId="283" xfId="0" applyNumberFormat="1" applyFont="1" applyBorder="1" applyAlignment="1">
      <alignment horizontal="center" vertical="center"/>
    </xf>
    <xf numFmtId="164" fontId="15" fillId="0" borderId="284" xfId="0" applyNumberFormat="1" applyFont="1" applyBorder="1" applyAlignment="1">
      <alignment horizontal="center" vertical="center"/>
    </xf>
    <xf numFmtId="164" fontId="15" fillId="0" borderId="93" xfId="0" applyNumberFormat="1" applyFont="1" applyBorder="1" applyAlignment="1">
      <alignment horizontal="center" vertical="center"/>
    </xf>
    <xf numFmtId="164" fontId="15" fillId="0" borderId="221" xfId="0" applyNumberFormat="1" applyFont="1" applyBorder="1" applyAlignment="1">
      <alignment horizontal="center" vertical="center"/>
    </xf>
    <xf numFmtId="164" fontId="15" fillId="0" borderId="270" xfId="0" applyNumberFormat="1" applyFont="1" applyBorder="1" applyAlignment="1">
      <alignment horizontal="center" vertical="center"/>
    </xf>
    <xf numFmtId="164" fontId="15" fillId="0" borderId="261" xfId="0" applyNumberFormat="1" applyFont="1" applyBorder="1" applyAlignment="1">
      <alignment horizontal="center" vertical="center"/>
    </xf>
    <xf numFmtId="0" fontId="40" fillId="0" borderId="94" xfId="0" applyFont="1" applyBorder="1" applyAlignment="1">
      <alignment horizontal="left" vertical="center"/>
    </xf>
    <xf numFmtId="0" fontId="40" fillId="0" borderId="238" xfId="0" applyFont="1" applyBorder="1" applyAlignment="1">
      <alignment horizontal="left" vertical="center"/>
    </xf>
    <xf numFmtId="164" fontId="23" fillId="0" borderId="94" xfId="0" applyNumberFormat="1" applyFont="1" applyBorder="1" applyAlignment="1">
      <alignment horizontal="center" vertical="center"/>
    </xf>
    <xf numFmtId="164" fontId="23" fillId="0" borderId="91" xfId="0" applyNumberFormat="1" applyFont="1" applyBorder="1" applyAlignment="1">
      <alignment horizontal="center" vertical="center"/>
    </xf>
    <xf numFmtId="0" fontId="0" fillId="0" borderId="100" xfId="0" applyBorder="1" applyAlignment="1">
      <alignment vertical="center"/>
    </xf>
    <xf numFmtId="164" fontId="15" fillId="0" borderId="218" xfId="0" applyNumberFormat="1" applyFont="1" applyBorder="1" applyAlignment="1">
      <alignment horizontal="center" vertical="center"/>
    </xf>
    <xf numFmtId="164" fontId="15" fillId="0" borderId="119" xfId="0" applyNumberFormat="1" applyFont="1" applyBorder="1" applyAlignment="1">
      <alignment horizontal="center" vertical="center"/>
    </xf>
    <xf numFmtId="164" fontId="15" fillId="0" borderId="96" xfId="0" applyNumberFormat="1" applyFont="1" applyBorder="1" applyAlignment="1">
      <alignment horizontal="center" vertical="center"/>
    </xf>
    <xf numFmtId="0" fontId="15" fillId="0" borderId="96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64" fontId="15" fillId="0" borderId="240" xfId="0" applyNumberFormat="1" applyFont="1" applyBorder="1" applyAlignment="1">
      <alignment horizontal="center" vertical="center"/>
    </xf>
    <xf numFmtId="0" fontId="15" fillId="0" borderId="61" xfId="0" applyFont="1" applyBorder="1" applyAlignment="1">
      <alignment horizontal="center" vertical="center"/>
    </xf>
    <xf numFmtId="0" fontId="15" fillId="0" borderId="94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91" xfId="0" applyFont="1" applyBorder="1" applyAlignment="1">
      <alignment horizontal="center" vertical="center"/>
    </xf>
    <xf numFmtId="164" fontId="15" fillId="0" borderId="254" xfId="0" applyNumberFormat="1" applyFont="1" applyBorder="1" applyAlignment="1">
      <alignment horizontal="center" vertical="center"/>
    </xf>
    <xf numFmtId="164" fontId="15" fillId="0" borderId="124" xfId="0" applyNumberFormat="1" applyFont="1" applyBorder="1" applyAlignment="1">
      <alignment horizontal="center" vertical="center"/>
    </xf>
    <xf numFmtId="164" fontId="15" fillId="0" borderId="149" xfId="0" applyNumberFormat="1" applyFont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164" fontId="15" fillId="0" borderId="210" xfId="0" applyNumberFormat="1" applyFont="1" applyBorder="1" applyAlignment="1">
      <alignment horizontal="center" vertical="center"/>
    </xf>
    <xf numFmtId="164" fontId="15" fillId="0" borderId="291" xfId="0" applyNumberFormat="1" applyFont="1" applyBorder="1" applyAlignment="1">
      <alignment horizontal="center" vertical="center"/>
    </xf>
    <xf numFmtId="164" fontId="15" fillId="0" borderId="248" xfId="0" applyNumberFormat="1" applyFont="1" applyBorder="1" applyAlignment="1">
      <alignment horizontal="center" vertical="center"/>
    </xf>
    <xf numFmtId="0" fontId="23" fillId="0" borderId="75" xfId="0" applyFont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164" fontId="23" fillId="0" borderId="73" xfId="0" applyNumberFormat="1" applyFont="1" applyBorder="1" applyAlignment="1">
      <alignment horizontal="center" vertical="center"/>
    </xf>
    <xf numFmtId="164" fontId="23" fillId="0" borderId="250" xfId="0" applyNumberFormat="1" applyFont="1" applyBorder="1" applyAlignment="1">
      <alignment horizontal="center" vertical="center"/>
    </xf>
    <xf numFmtId="164" fontId="23" fillId="0" borderId="251" xfId="0" applyNumberFormat="1" applyFont="1" applyBorder="1" applyAlignment="1">
      <alignment horizontal="center" vertical="center"/>
    </xf>
    <xf numFmtId="164" fontId="16" fillId="0" borderId="292" xfId="0" applyNumberFormat="1" applyFont="1" applyBorder="1" applyAlignment="1">
      <alignment horizontal="center" vertical="center"/>
    </xf>
    <xf numFmtId="164" fontId="15" fillId="0" borderId="115" xfId="0" applyNumberFormat="1" applyFont="1" applyBorder="1" applyAlignment="1">
      <alignment horizontal="center" vertical="center"/>
    </xf>
    <xf numFmtId="164" fontId="15" fillId="0" borderId="245" xfId="0" applyNumberFormat="1" applyFont="1" applyBorder="1" applyAlignment="1">
      <alignment horizontal="center" vertical="center"/>
    </xf>
    <xf numFmtId="164" fontId="23" fillId="0" borderId="75" xfId="0" applyNumberFormat="1" applyFont="1" applyBorder="1" applyAlignment="1">
      <alignment horizontal="center" vertical="center"/>
    </xf>
    <xf numFmtId="164" fontId="23" fillId="0" borderId="76" xfId="0" applyNumberFormat="1" applyFont="1" applyBorder="1" applyAlignment="1">
      <alignment horizontal="center" vertical="center"/>
    </xf>
    <xf numFmtId="164" fontId="23" fillId="0" borderId="64" xfId="0" applyNumberFormat="1" applyFont="1" applyBorder="1" applyAlignment="1">
      <alignment horizontal="center" vertical="center"/>
    </xf>
    <xf numFmtId="164" fontId="23" fillId="0" borderId="293" xfId="0" applyNumberFormat="1" applyFont="1" applyBorder="1" applyAlignment="1">
      <alignment horizontal="center" vertical="center"/>
    </xf>
    <xf numFmtId="0" fontId="23" fillId="0" borderId="209" xfId="0" applyFont="1" applyBorder="1" applyAlignment="1">
      <alignment horizontal="center" vertical="center"/>
    </xf>
    <xf numFmtId="164" fontId="23" fillId="0" borderId="286" xfId="0" applyNumberFormat="1" applyFont="1" applyBorder="1" applyAlignment="1">
      <alignment horizontal="center" vertical="center"/>
    </xf>
    <xf numFmtId="164" fontId="23" fillId="0" borderId="209" xfId="0" applyNumberFormat="1" applyFont="1" applyBorder="1" applyAlignment="1">
      <alignment horizontal="center" vertical="center"/>
    </xf>
    <xf numFmtId="164" fontId="23" fillId="0" borderId="294" xfId="0" applyNumberFormat="1" applyFont="1" applyBorder="1" applyAlignment="1">
      <alignment horizontal="center" vertical="center"/>
    </xf>
    <xf numFmtId="1" fontId="23" fillId="0" borderId="286" xfId="0" applyNumberFormat="1" applyFont="1" applyBorder="1" applyAlignment="1">
      <alignment horizontal="center" vertical="center"/>
    </xf>
    <xf numFmtId="1" fontId="23" fillId="0" borderId="132" xfId="0" applyNumberFormat="1" applyFont="1" applyBorder="1" applyAlignment="1">
      <alignment horizontal="center" vertical="center"/>
    </xf>
    <xf numFmtId="1" fontId="23" fillId="0" borderId="239" xfId="0" applyNumberFormat="1" applyFont="1" applyBorder="1" applyAlignment="1">
      <alignment horizontal="center" vertical="center"/>
    </xf>
    <xf numFmtId="0" fontId="23" fillId="0" borderId="286" xfId="0" applyFont="1" applyBorder="1" applyAlignment="1">
      <alignment horizontal="center" vertical="center"/>
    </xf>
    <xf numFmtId="1" fontId="23" fillId="0" borderId="59" xfId="0" applyNumberFormat="1" applyFont="1" applyBorder="1" applyAlignment="1">
      <alignment horizontal="center" vertical="center"/>
    </xf>
    <xf numFmtId="164" fontId="31" fillId="0" borderId="73" xfId="0" applyNumberFormat="1" applyFont="1" applyBorder="1" applyAlignment="1">
      <alignment horizontal="center" vertical="center"/>
    </xf>
    <xf numFmtId="164" fontId="31" fillId="0" borderId="76" xfId="0" applyNumberFormat="1" applyFont="1" applyBorder="1" applyAlignment="1">
      <alignment horizontal="center" vertical="center"/>
    </xf>
    <xf numFmtId="164" fontId="31" fillId="0" borderId="142" xfId="0" applyNumberFormat="1" applyFont="1" applyBorder="1" applyAlignment="1">
      <alignment horizontal="center" vertical="center"/>
    </xf>
    <xf numFmtId="168" fontId="0" fillId="0" borderId="0" xfId="0" applyNumberFormat="1"/>
    <xf numFmtId="168" fontId="23" fillId="0" borderId="69" xfId="0" applyNumberFormat="1" applyFont="1" applyBorder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168" fontId="23" fillId="0" borderId="10" xfId="0" applyNumberFormat="1" applyFont="1" applyBorder="1" applyAlignment="1">
      <alignment horizontal="center" vertical="center"/>
    </xf>
    <xf numFmtId="168" fontId="0" fillId="0" borderId="0" xfId="0" applyNumberFormat="1" applyAlignment="1">
      <alignment vertical="center"/>
    </xf>
    <xf numFmtId="168" fontId="23" fillId="0" borderId="8" xfId="0" applyNumberFormat="1" applyFont="1" applyBorder="1" applyAlignment="1">
      <alignment horizontal="center"/>
    </xf>
    <xf numFmtId="168" fontId="23" fillId="0" borderId="0" xfId="0" applyNumberFormat="1" applyFont="1" applyAlignment="1">
      <alignment horizontal="center"/>
    </xf>
    <xf numFmtId="0" fontId="15" fillId="0" borderId="218" xfId="0" applyFont="1" applyBorder="1" applyAlignment="1">
      <alignment horizontal="center" vertical="center"/>
    </xf>
    <xf numFmtId="0" fontId="16" fillId="0" borderId="295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0" fontId="15" fillId="0" borderId="74" xfId="0" applyFont="1" applyBorder="1" applyAlignment="1">
      <alignment horizontal="center" vertical="center"/>
    </xf>
    <xf numFmtId="0" fontId="41" fillId="0" borderId="64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39" fillId="0" borderId="52" xfId="0" applyFont="1" applyBorder="1" applyAlignment="1">
      <alignment horizontal="center" vertical="center" wrapText="1"/>
    </xf>
    <xf numFmtId="0" fontId="39" fillId="0" borderId="53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168" fontId="25" fillId="0" borderId="52" xfId="0" applyNumberFormat="1" applyFont="1" applyBorder="1" applyAlignment="1">
      <alignment horizontal="center" vertical="center" wrapText="1"/>
    </xf>
    <xf numFmtId="168" fontId="0" fillId="0" borderId="53" xfId="0" applyNumberFormat="1" applyBorder="1" applyAlignment="1">
      <alignment horizontal="center" vertical="center" wrapText="1"/>
    </xf>
    <xf numFmtId="168" fontId="0" fillId="0" borderId="54" xfId="0" applyNumberFormat="1" applyBorder="1" applyAlignment="1">
      <alignment horizontal="center" vertical="center" wrapText="1"/>
    </xf>
    <xf numFmtId="1" fontId="39" fillId="0" borderId="52" xfId="0" applyNumberFormat="1" applyFont="1" applyBorder="1" applyAlignment="1">
      <alignment horizontal="center" vertical="center" wrapText="1"/>
    </xf>
    <xf numFmtId="1" fontId="39" fillId="0" borderId="53" xfId="0" applyNumberFormat="1" applyFont="1" applyBorder="1" applyAlignment="1">
      <alignment horizontal="center" vertical="center" wrapText="1"/>
    </xf>
    <xf numFmtId="164" fontId="39" fillId="0" borderId="52" xfId="0" applyNumberFormat="1" applyFont="1" applyBorder="1" applyAlignment="1">
      <alignment horizontal="center" vertical="center" wrapText="1"/>
    </xf>
    <xf numFmtId="164" fontId="39" fillId="0" borderId="53" xfId="0" applyNumberFormat="1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25" fillId="0" borderId="52" xfId="0" applyFont="1" applyBorder="1" applyAlignment="1">
      <alignment horizontal="center" vertical="center" wrapText="1"/>
    </xf>
    <xf numFmtId="0" fontId="43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1" fillId="0" borderId="69" xfId="0" applyFont="1" applyBorder="1" applyAlignment="1">
      <alignment horizontal="center" vertical="center" wrapText="1"/>
    </xf>
    <xf numFmtId="0" fontId="41" fillId="0" borderId="70" xfId="0" applyFont="1" applyBorder="1" applyAlignment="1">
      <alignment horizontal="center" vertical="center" wrapText="1"/>
    </xf>
    <xf numFmtId="164" fontId="20" fillId="0" borderId="58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0" fontId="38" fillId="0" borderId="54" xfId="0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164" fontId="20" fillId="0" borderId="45" xfId="0" applyNumberFormat="1" applyFont="1" applyBorder="1" applyAlignment="1">
      <alignment horizontal="center" wrapText="1"/>
    </xf>
    <xf numFmtId="0" fontId="27" fillId="0" borderId="289" xfId="0" applyFont="1" applyBorder="1" applyAlignment="1">
      <alignment horizontal="center" wrapText="1"/>
    </xf>
    <xf numFmtId="0" fontId="20" fillId="0" borderId="79" xfId="0" applyFont="1" applyBorder="1" applyAlignment="1">
      <alignment horizontal="center" wrapText="1"/>
    </xf>
    <xf numFmtId="0" fontId="27" fillId="0" borderId="43" xfId="0" applyFont="1" applyBorder="1" applyAlignment="1">
      <alignment horizont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65" xfId="0" applyFont="1" applyBorder="1" applyAlignment="1">
      <alignment horizontal="center" vertical="center" wrapText="1"/>
    </xf>
    <xf numFmtId="0" fontId="20" fillId="0" borderId="7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 wrapText="1"/>
    </xf>
    <xf numFmtId="0" fontId="41" fillId="0" borderId="59" xfId="0" applyFont="1" applyBorder="1" applyAlignment="1">
      <alignment horizontal="center" vertical="center"/>
    </xf>
    <xf numFmtId="0" fontId="42" fillId="0" borderId="59" xfId="0" applyFont="1" applyBorder="1" applyAlignment="1">
      <alignment horizontal="center" vertical="center"/>
    </xf>
    <xf numFmtId="0" fontId="42" fillId="0" borderId="60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164" fontId="18" fillId="0" borderId="64" xfId="0" applyNumberFormat="1" applyFont="1" applyBorder="1" applyAlignment="1">
      <alignment horizontal="center" vertical="center"/>
    </xf>
    <xf numFmtId="164" fontId="1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0" fontId="25" fillId="0" borderId="5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164" fontId="20" fillId="0" borderId="41" xfId="0" applyNumberFormat="1" applyFont="1" applyBorder="1" applyAlignment="1">
      <alignment horizontal="center" wrapText="1"/>
    </xf>
    <xf numFmtId="0" fontId="18" fillId="0" borderId="52" xfId="0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20" fillId="0" borderId="5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46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0" fillId="0" borderId="42" xfId="0" applyFont="1" applyBorder="1" applyAlignment="1">
      <alignment horizontal="center" wrapText="1"/>
    </xf>
    <xf numFmtId="164" fontId="20" fillId="0" borderId="26" xfId="0" applyNumberFormat="1" applyFont="1" applyBorder="1" applyAlignment="1">
      <alignment horizontal="center" wrapText="1"/>
    </xf>
    <xf numFmtId="0" fontId="27" fillId="0" borderId="39" xfId="0" applyFont="1" applyBorder="1" applyAlignment="1">
      <alignment horizontal="center" wrapText="1"/>
    </xf>
    <xf numFmtId="164" fontId="18" fillId="0" borderId="21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22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 wrapText="1"/>
    </xf>
    <xf numFmtId="164" fontId="27" fillId="0" borderId="15" xfId="0" applyNumberFormat="1" applyFont="1" applyBorder="1" applyAlignment="1">
      <alignment horizontal="center" vertical="center" wrapText="1"/>
    </xf>
    <xf numFmtId="164" fontId="27" fillId="0" borderId="2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0" fillId="0" borderId="296" xfId="0" applyBorder="1"/>
    <xf numFmtId="0" fontId="0" fillId="0" borderId="297" xfId="0" applyBorder="1"/>
    <xf numFmtId="0" fontId="39" fillId="0" borderId="58" xfId="0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/>
    </xf>
    <xf numFmtId="168" fontId="23" fillId="0" borderId="54" xfId="0" applyNumberFormat="1" applyFont="1" applyBorder="1" applyAlignment="1">
      <alignment horizontal="center" vertical="center"/>
    </xf>
    <xf numFmtId="168" fontId="23" fillId="0" borderId="52" xfId="0" applyNumberFormat="1" applyFont="1" applyBorder="1" applyAlignment="1">
      <alignment horizontal="center" vertical="center"/>
    </xf>
    <xf numFmtId="168" fontId="23" fillId="0" borderId="83" xfId="0" applyNumberFormat="1" applyFont="1" applyBorder="1" applyAlignment="1">
      <alignment horizontal="center" vertical="center"/>
    </xf>
    <xf numFmtId="0" fontId="13" fillId="0" borderId="297" xfId="0" applyFont="1" applyBorder="1"/>
    <xf numFmtId="0" fontId="0" fillId="0" borderId="299" xfId="0" applyBorder="1"/>
    <xf numFmtId="0" fontId="0" fillId="0" borderId="300" xfId="0" applyBorder="1"/>
    <xf numFmtId="0" fontId="0" fillId="0" borderId="302" xfId="0" applyBorder="1"/>
    <xf numFmtId="0" fontId="0" fillId="0" borderId="303" xfId="0" applyBorder="1"/>
    <xf numFmtId="168" fontId="39" fillId="0" borderId="60" xfId="0" applyNumberFormat="1" applyFont="1" applyBorder="1" applyAlignment="1">
      <alignment horizontal="center" vertical="center"/>
    </xf>
    <xf numFmtId="168" fontId="0" fillId="0" borderId="304" xfId="0" applyNumberFormat="1" applyBorder="1"/>
    <xf numFmtId="168" fontId="0" fillId="0" borderId="298" xfId="0" applyNumberFormat="1" applyBorder="1"/>
    <xf numFmtId="168" fontId="0" fillId="0" borderId="301" xfId="0" applyNumberFormat="1" applyBorder="1"/>
    <xf numFmtId="168" fontId="39" fillId="0" borderId="59" xfId="0" applyNumberFormat="1" applyFont="1" applyBorder="1" applyAlignment="1">
      <alignment horizontal="center" vertical="center"/>
    </xf>
    <xf numFmtId="168" fontId="0" fillId="0" borderId="303" xfId="0" applyNumberFormat="1" applyBorder="1"/>
    <xf numFmtId="168" fontId="0" fillId="0" borderId="296" xfId="0" applyNumberFormat="1" applyBorder="1"/>
    <xf numFmtId="168" fontId="0" fillId="0" borderId="30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st_summary" connectionId="1" xr16:uid="{01A7E32F-F6C0-C54B-B0F6-257B644FE0FF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ntitled" connectionId="2" xr16:uid="{6D5F4026-3C95-5A49-91FB-ACA317E792B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E511-3FC8-A64B-9C47-A50A10F7D602}">
  <sheetPr>
    <outlinePr summaryBelow="0" summaryRight="0"/>
  </sheetPr>
  <dimension ref="A1:AU49"/>
  <sheetViews>
    <sheetView tabSelected="1" zoomScale="130" zoomScaleNormal="130" workbookViewId="0">
      <selection activeCell="A24" sqref="A24"/>
    </sheetView>
  </sheetViews>
  <sheetFormatPr baseColWidth="10" defaultColWidth="12.6640625" defaultRowHeight="15.75" customHeight="1" x14ac:dyDescent="0.15"/>
  <cols>
    <col min="1" max="1" width="43" customWidth="1"/>
    <col min="2" max="2" width="11.83203125" customWidth="1"/>
    <col min="3" max="3" width="15.5" customWidth="1"/>
    <col min="4" max="4" width="10.5" customWidth="1"/>
    <col min="5" max="5" width="12.5" customWidth="1"/>
    <col min="6" max="6" width="10" style="663" customWidth="1"/>
    <col min="7" max="7" width="15" customWidth="1"/>
    <col min="8" max="8" width="19.33203125" customWidth="1"/>
    <col min="9" max="9" width="14.6640625" customWidth="1"/>
    <col min="10" max="10" width="9" customWidth="1"/>
    <col min="11" max="11" width="10.6640625" customWidth="1"/>
    <col min="12" max="12" width="11.1640625" customWidth="1"/>
    <col min="13" max="13" width="16.83203125" customWidth="1"/>
    <col min="14" max="14" width="8" style="41" customWidth="1"/>
    <col min="15" max="15" width="8.1640625" style="41" customWidth="1"/>
    <col min="16" max="16" width="8.33203125" style="41" customWidth="1"/>
    <col min="17" max="18" width="7.83203125" style="41" customWidth="1"/>
    <col min="19" max="19" width="9.6640625" style="41" customWidth="1"/>
    <col min="20" max="20" width="8.1640625" style="41" customWidth="1"/>
    <col min="21" max="21" width="9.5" customWidth="1"/>
    <col min="22" max="22" width="10.1640625" customWidth="1"/>
    <col min="23" max="23" width="5.6640625" customWidth="1"/>
    <col min="24" max="24" width="5.33203125" customWidth="1"/>
    <col min="25" max="25" width="6.33203125" customWidth="1"/>
    <col min="26" max="26" width="6.83203125" customWidth="1"/>
    <col min="27" max="27" width="8.6640625" customWidth="1"/>
    <col min="28" max="30" width="7" customWidth="1"/>
    <col min="31" max="31" width="11" customWidth="1"/>
    <col min="32" max="32" width="4" bestFit="1" customWidth="1"/>
    <col min="33" max="33" width="4.1640625" bestFit="1" customWidth="1"/>
    <col min="34" max="34" width="5.6640625" bestFit="1" customWidth="1"/>
    <col min="35" max="35" width="5.6640625" customWidth="1"/>
    <col min="36" max="36" width="5.1640625" bestFit="1" customWidth="1"/>
    <col min="37" max="37" width="4.1640625" bestFit="1" customWidth="1"/>
    <col min="38" max="38" width="6.1640625" bestFit="1" customWidth="1"/>
    <col min="39" max="39" width="4.1640625" bestFit="1" customWidth="1"/>
    <col min="40" max="40" width="4" bestFit="1" customWidth="1"/>
    <col min="41" max="41" width="5.1640625" bestFit="1" customWidth="1"/>
    <col min="42" max="42" width="5.33203125" bestFit="1" customWidth="1"/>
    <col min="43" max="43" width="4.1640625" bestFit="1" customWidth="1"/>
    <col min="44" max="44" width="5.1640625" bestFit="1" customWidth="1"/>
    <col min="45" max="45" width="6.1640625" bestFit="1" customWidth="1"/>
    <col min="46" max="46" width="5.83203125" style="634" bestFit="1" customWidth="1"/>
    <col min="47" max="47" width="12.6640625" style="41"/>
  </cols>
  <sheetData>
    <row r="1" spans="1:47" ht="31" customHeight="1" thickBot="1" x14ac:dyDescent="0.2">
      <c r="A1" s="696" t="s">
        <v>0</v>
      </c>
      <c r="B1" s="674" t="s">
        <v>1</v>
      </c>
      <c r="C1" s="691" t="s">
        <v>490</v>
      </c>
      <c r="D1" s="691" t="s">
        <v>488</v>
      </c>
      <c r="E1" s="691" t="s">
        <v>489</v>
      </c>
      <c r="F1" s="680" t="s">
        <v>603</v>
      </c>
      <c r="G1" s="688" t="s">
        <v>384</v>
      </c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90"/>
      <c r="W1" s="688" t="s">
        <v>378</v>
      </c>
      <c r="X1" s="726"/>
      <c r="Y1" s="726"/>
      <c r="Z1" s="726"/>
      <c r="AA1" s="726"/>
      <c r="AB1" s="688" t="s">
        <v>399</v>
      </c>
      <c r="AC1" s="727"/>
      <c r="AD1" s="728"/>
      <c r="AE1" s="674" t="s">
        <v>485</v>
      </c>
      <c r="AF1" s="675"/>
      <c r="AG1" s="675"/>
      <c r="AH1" s="675"/>
      <c r="AI1" s="675"/>
      <c r="AJ1" s="675"/>
      <c r="AK1" s="675"/>
      <c r="AL1" s="675"/>
      <c r="AM1" s="675"/>
      <c r="AN1" s="675"/>
      <c r="AO1" s="675"/>
      <c r="AP1" s="675"/>
      <c r="AQ1" s="675"/>
      <c r="AR1" s="675"/>
      <c r="AS1" s="675"/>
      <c r="AT1" s="675"/>
      <c r="AU1" s="676"/>
    </row>
    <row r="2" spans="1:47" ht="15" customHeight="1" thickBot="1" x14ac:dyDescent="0.25">
      <c r="A2" s="696"/>
      <c r="B2" s="694"/>
      <c r="C2" s="692"/>
      <c r="D2" s="729"/>
      <c r="E2" s="729"/>
      <c r="F2" s="681"/>
      <c r="G2" s="448" t="s">
        <v>2</v>
      </c>
      <c r="H2" s="103" t="s">
        <v>3</v>
      </c>
      <c r="I2" s="103" t="s">
        <v>4</v>
      </c>
      <c r="J2" s="731" t="s">
        <v>5</v>
      </c>
      <c r="K2" s="732"/>
      <c r="L2" s="733"/>
      <c r="M2" s="104" t="s">
        <v>367</v>
      </c>
      <c r="N2" s="734" t="s">
        <v>420</v>
      </c>
      <c r="O2" s="735"/>
      <c r="P2" s="735"/>
      <c r="Q2" s="736"/>
      <c r="R2" s="736"/>
      <c r="S2" s="736"/>
      <c r="T2" s="737"/>
      <c r="U2" s="715" t="s">
        <v>409</v>
      </c>
      <c r="V2" s="718" t="s">
        <v>408</v>
      </c>
      <c r="W2" s="721" t="s">
        <v>381</v>
      </c>
      <c r="X2" s="722"/>
      <c r="Y2" s="722"/>
      <c r="Z2" s="722"/>
      <c r="AA2" s="723"/>
      <c r="AB2" s="677" t="s">
        <v>400</v>
      </c>
      <c r="AC2" s="677" t="s">
        <v>401</v>
      </c>
      <c r="AD2" s="677" t="s">
        <v>402</v>
      </c>
      <c r="AE2" s="677" t="s">
        <v>591</v>
      </c>
      <c r="AF2" s="677" t="s">
        <v>595</v>
      </c>
      <c r="AG2" s="677" t="s">
        <v>596</v>
      </c>
      <c r="AH2" s="677" t="s">
        <v>594</v>
      </c>
      <c r="AI2" s="677" t="s">
        <v>593</v>
      </c>
      <c r="AJ2" s="677" t="s">
        <v>592</v>
      </c>
      <c r="AK2" s="677" t="s">
        <v>597</v>
      </c>
      <c r="AL2" s="677" t="s">
        <v>598</v>
      </c>
      <c r="AM2" s="677" t="s">
        <v>599</v>
      </c>
      <c r="AN2" s="677" t="s">
        <v>491</v>
      </c>
      <c r="AO2" s="677" t="s">
        <v>492</v>
      </c>
      <c r="AP2" s="677" t="s">
        <v>493</v>
      </c>
      <c r="AQ2" s="677" t="s">
        <v>600</v>
      </c>
      <c r="AR2" s="677" t="s">
        <v>601</v>
      </c>
      <c r="AS2" s="677" t="s">
        <v>602</v>
      </c>
      <c r="AT2" s="683" t="s">
        <v>494</v>
      </c>
      <c r="AU2" s="685" t="s">
        <v>549</v>
      </c>
    </row>
    <row r="3" spans="1:47" ht="14" customHeight="1" thickBot="1" x14ac:dyDescent="0.2">
      <c r="A3" s="696"/>
      <c r="B3" s="694"/>
      <c r="C3" s="692"/>
      <c r="D3" s="729"/>
      <c r="E3" s="729"/>
      <c r="F3" s="681"/>
      <c r="G3" s="706" t="s">
        <v>9</v>
      </c>
      <c r="H3" s="708" t="s">
        <v>10</v>
      </c>
      <c r="I3" s="708" t="s">
        <v>11</v>
      </c>
      <c r="J3" s="710" t="s">
        <v>12</v>
      </c>
      <c r="K3" s="711"/>
      <c r="L3" s="712"/>
      <c r="M3" s="713" t="s">
        <v>13</v>
      </c>
      <c r="N3" s="698" t="s">
        <v>421</v>
      </c>
      <c r="O3" s="699"/>
      <c r="P3" s="699"/>
      <c r="Q3" s="698" t="s">
        <v>422</v>
      </c>
      <c r="R3" s="699"/>
      <c r="S3" s="700"/>
      <c r="T3" s="701" t="s">
        <v>483</v>
      </c>
      <c r="U3" s="716"/>
      <c r="V3" s="719"/>
      <c r="W3" s="703" t="s">
        <v>380</v>
      </c>
      <c r="X3" s="700"/>
      <c r="Y3" s="703" t="s">
        <v>379</v>
      </c>
      <c r="Z3" s="700"/>
      <c r="AA3" s="704" t="s">
        <v>382</v>
      </c>
      <c r="AB3" s="724"/>
      <c r="AC3" s="724"/>
      <c r="AD3" s="724"/>
      <c r="AE3" s="678"/>
      <c r="AF3" s="678"/>
      <c r="AG3" s="678"/>
      <c r="AH3" s="678"/>
      <c r="AI3" s="678"/>
      <c r="AJ3" s="678"/>
      <c r="AK3" s="687"/>
      <c r="AL3" s="678"/>
      <c r="AM3" s="678"/>
      <c r="AN3" s="678"/>
      <c r="AO3" s="678"/>
      <c r="AP3" s="678"/>
      <c r="AQ3" s="678"/>
      <c r="AR3" s="678"/>
      <c r="AS3" s="678"/>
      <c r="AT3" s="684"/>
      <c r="AU3" s="686"/>
    </row>
    <row r="4" spans="1:47" ht="14" customHeight="1" thickBot="1" x14ac:dyDescent="0.2">
      <c r="A4" s="697"/>
      <c r="B4" s="695"/>
      <c r="C4" s="693"/>
      <c r="D4" s="730"/>
      <c r="E4" s="730"/>
      <c r="F4" s="682"/>
      <c r="G4" s="707"/>
      <c r="H4" s="709"/>
      <c r="I4" s="709"/>
      <c r="J4" s="471" t="s">
        <v>368</v>
      </c>
      <c r="K4" s="473" t="s">
        <v>369</v>
      </c>
      <c r="L4" s="472" t="s">
        <v>370</v>
      </c>
      <c r="M4" s="714"/>
      <c r="N4" s="471" t="s">
        <v>345</v>
      </c>
      <c r="O4" s="473" t="s">
        <v>344</v>
      </c>
      <c r="P4" s="472" t="s">
        <v>346</v>
      </c>
      <c r="Q4" s="471" t="s">
        <v>345</v>
      </c>
      <c r="R4" s="473" t="s">
        <v>344</v>
      </c>
      <c r="S4" s="472" t="s">
        <v>346</v>
      </c>
      <c r="T4" s="702"/>
      <c r="U4" s="717"/>
      <c r="V4" s="720"/>
      <c r="W4" s="78" t="s">
        <v>387</v>
      </c>
      <c r="X4" s="475" t="s">
        <v>388</v>
      </c>
      <c r="Y4" s="474" t="s">
        <v>387</v>
      </c>
      <c r="Z4" s="475" t="s">
        <v>388</v>
      </c>
      <c r="AA4" s="705"/>
      <c r="AB4" s="725"/>
      <c r="AC4" s="725"/>
      <c r="AD4" s="725"/>
      <c r="AE4" s="679"/>
      <c r="AF4" s="678"/>
      <c r="AG4" s="678"/>
      <c r="AH4" s="678"/>
      <c r="AI4" s="678"/>
      <c r="AJ4" s="678"/>
      <c r="AK4" s="687"/>
      <c r="AL4" s="678"/>
      <c r="AM4" s="678"/>
      <c r="AN4" s="678"/>
      <c r="AO4" s="678"/>
      <c r="AP4" s="678"/>
      <c r="AQ4" s="678"/>
      <c r="AR4" s="678"/>
      <c r="AS4" s="678"/>
      <c r="AT4" s="684"/>
      <c r="AU4" s="686"/>
    </row>
    <row r="5" spans="1:47" ht="13" x14ac:dyDescent="0.15">
      <c r="A5" s="616" t="s">
        <v>371</v>
      </c>
      <c r="B5" s="396" t="s">
        <v>359</v>
      </c>
      <c r="C5" s="483">
        <f t="shared" ref="C5:C10" si="0">AVERAGE(AE5,G5,H5,I5,L5,M5,T5,AA5,AD5)</f>
        <v>76.859444444444435</v>
      </c>
      <c r="D5" s="110">
        <f t="shared" ref="D5:D10" si="1">AVERAGE(G5,H5,I5,J5,M5,T5,W5,Y5,AB5,AC5)</f>
        <v>73.484999999999999</v>
      </c>
      <c r="E5" s="110">
        <f t="shared" ref="E5:E10" si="2">AVERAGE(AA5,V5,AD5)</f>
        <v>72.86333333333333</v>
      </c>
      <c r="F5" s="664">
        <f>_xlfn.XLOOKUP(A5,Cost!A:A,Cost!N:N,0)</f>
        <v>508.13209999999998</v>
      </c>
      <c r="G5" s="484">
        <v>93.66</v>
      </c>
      <c r="H5" s="483">
        <v>89</v>
      </c>
      <c r="I5" s="483">
        <v>74.599999999999994</v>
      </c>
      <c r="J5" s="541">
        <v>53.9</v>
      </c>
      <c r="K5" s="542">
        <v>56.16</v>
      </c>
      <c r="L5" s="480">
        <v>55.23</v>
      </c>
      <c r="M5" s="543">
        <v>88.73</v>
      </c>
      <c r="N5" s="544">
        <v>57</v>
      </c>
      <c r="O5" s="545">
        <v>78</v>
      </c>
      <c r="P5" s="546">
        <v>67.5</v>
      </c>
      <c r="Q5" s="547">
        <v>51.13</v>
      </c>
      <c r="R5" s="548">
        <v>56.39</v>
      </c>
      <c r="S5" s="549">
        <v>53.76</v>
      </c>
      <c r="T5" s="477">
        <f>AVERAGE(P5,S5)</f>
        <v>60.629999999999995</v>
      </c>
      <c r="U5" s="478">
        <f>AVERAGE(G5,H5,I5,J5,M5,T5)</f>
        <v>76.75333333333333</v>
      </c>
      <c r="V5" s="479">
        <f>AVERAGE(T5,M5,L5,I5,H5,G5)</f>
        <v>76.975000000000009</v>
      </c>
      <c r="W5" s="480">
        <v>29.3</v>
      </c>
      <c r="X5" s="481">
        <v>57.2</v>
      </c>
      <c r="Y5" s="480">
        <v>58.4</v>
      </c>
      <c r="Z5" s="481">
        <v>73.400000000000006</v>
      </c>
      <c r="AA5" s="482">
        <f t="shared" ref="AA5:AA6" si="3">AVERAGE(W5:Y5)</f>
        <v>48.300000000000004</v>
      </c>
      <c r="AB5" s="483">
        <v>95.5</v>
      </c>
      <c r="AC5" s="484">
        <v>91.13</v>
      </c>
      <c r="AD5" s="485">
        <f t="shared" ref="AD5" si="4">AVERAGE(AB5,AC5)</f>
        <v>93.314999999999998</v>
      </c>
      <c r="AE5" s="480">
        <v>88.27</v>
      </c>
      <c r="AF5" s="647">
        <v>94</v>
      </c>
      <c r="AG5" s="661">
        <v>92.3</v>
      </c>
      <c r="AH5" s="648">
        <v>90.7</v>
      </c>
      <c r="AI5" s="661">
        <v>89</v>
      </c>
      <c r="AJ5" s="648">
        <v>90.2</v>
      </c>
      <c r="AK5" s="648">
        <v>84.7</v>
      </c>
      <c r="AL5" s="661">
        <v>84.1</v>
      </c>
      <c r="AM5" s="648">
        <v>80.3</v>
      </c>
      <c r="AN5" s="661">
        <v>78.7</v>
      </c>
      <c r="AO5" s="648">
        <v>95</v>
      </c>
      <c r="AP5" s="648">
        <v>84.4</v>
      </c>
      <c r="AQ5" s="661">
        <v>86.6</v>
      </c>
      <c r="AR5" s="648">
        <v>91.3</v>
      </c>
      <c r="AS5" s="653">
        <v>88</v>
      </c>
      <c r="AT5" s="655">
        <v>12032</v>
      </c>
      <c r="AU5" s="108">
        <v>88.3</v>
      </c>
    </row>
    <row r="6" spans="1:47" ht="13" x14ac:dyDescent="0.15">
      <c r="A6" s="458" t="s">
        <v>374</v>
      </c>
      <c r="B6" s="443" t="s">
        <v>359</v>
      </c>
      <c r="C6" s="415">
        <f t="shared" si="0"/>
        <v>71.668518518518525</v>
      </c>
      <c r="D6" s="109">
        <f t="shared" si="1"/>
        <v>68.419999999999987</v>
      </c>
      <c r="E6" s="109">
        <f t="shared" si="2"/>
        <v>69.816666666666663</v>
      </c>
      <c r="F6" s="794">
        <f>_xlfn.XLOOKUP(A6,Cost!A:A,Cost!N:N,0)</f>
        <v>1154.1323</v>
      </c>
      <c r="G6" s="621">
        <v>91.5</v>
      </c>
      <c r="H6" s="622">
        <v>83.2</v>
      </c>
      <c r="I6" s="622">
        <v>74.5</v>
      </c>
      <c r="J6" s="550">
        <v>33.9</v>
      </c>
      <c r="K6" s="551">
        <v>35.700000000000003</v>
      </c>
      <c r="L6" s="552">
        <v>34.9</v>
      </c>
      <c r="M6" s="553">
        <v>89</v>
      </c>
      <c r="N6" s="540">
        <v>37</v>
      </c>
      <c r="O6" s="554">
        <v>86</v>
      </c>
      <c r="P6" s="555">
        <v>61.5</v>
      </c>
      <c r="Q6" s="486">
        <v>21.1</v>
      </c>
      <c r="R6" s="552">
        <v>26.3</v>
      </c>
      <c r="S6" s="488">
        <v>23.7</v>
      </c>
      <c r="T6" s="486">
        <f>AVERAGE(P6,S6)</f>
        <v>42.6</v>
      </c>
      <c r="U6" s="415">
        <f>AVERAGE(G6,H6,I6,J6,M6,T6)</f>
        <v>69.11666666666666</v>
      </c>
      <c r="V6" s="487">
        <f>AVERAGE(T6,M6,L6,I6,H6,G6)</f>
        <v>69.283333333333331</v>
      </c>
      <c r="W6" s="486">
        <v>29</v>
      </c>
      <c r="X6" s="488">
        <v>58.9</v>
      </c>
      <c r="Y6" s="486">
        <v>56.3</v>
      </c>
      <c r="Z6" s="488">
        <v>71.8</v>
      </c>
      <c r="AA6" s="482">
        <f t="shared" si="3"/>
        <v>48.066666666666663</v>
      </c>
      <c r="AB6" s="415">
        <v>93.9</v>
      </c>
      <c r="AC6" s="482">
        <v>90.3</v>
      </c>
      <c r="AD6" s="482">
        <f t="shared" ref="AD6" si="5">AVERAGE(AB6,AC6)</f>
        <v>92.1</v>
      </c>
      <c r="AE6" s="644">
        <v>89.15</v>
      </c>
      <c r="AF6" s="660">
        <v>94.7</v>
      </c>
      <c r="AG6" s="222">
        <v>92.3</v>
      </c>
      <c r="AH6" s="222">
        <v>92.5</v>
      </c>
      <c r="AI6" s="195">
        <v>88.3</v>
      </c>
      <c r="AJ6" s="222">
        <v>91.6</v>
      </c>
      <c r="AK6" s="222">
        <v>88.1</v>
      </c>
      <c r="AL6" s="195">
        <v>82.5</v>
      </c>
      <c r="AM6" s="222">
        <v>80.599999999999994</v>
      </c>
      <c r="AN6" s="195">
        <v>78.599999999999994</v>
      </c>
      <c r="AO6" s="222">
        <v>96.2</v>
      </c>
      <c r="AP6" s="222">
        <v>86</v>
      </c>
      <c r="AQ6" s="195">
        <v>86.2</v>
      </c>
      <c r="AR6" s="222">
        <v>92.5</v>
      </c>
      <c r="AS6" s="662">
        <v>89.1</v>
      </c>
      <c r="AT6" s="656">
        <v>12032</v>
      </c>
      <c r="AU6" s="110">
        <v>89.2</v>
      </c>
    </row>
    <row r="7" spans="1:47" ht="13" x14ac:dyDescent="0.15">
      <c r="A7" s="458" t="s">
        <v>424</v>
      </c>
      <c r="B7" s="61" t="s">
        <v>360</v>
      </c>
      <c r="C7" s="415">
        <f t="shared" si="0"/>
        <v>69.610370370370376</v>
      </c>
      <c r="D7" s="143">
        <f t="shared" si="1"/>
        <v>67.89</v>
      </c>
      <c r="E7" s="109">
        <f t="shared" si="2"/>
        <v>70.422222222222231</v>
      </c>
      <c r="F7" s="794">
        <f>_xlfn.XLOOKUP(A7,Cost!A:A,Cost!N:N,0)</f>
        <v>126.39790000000001</v>
      </c>
      <c r="G7" s="440">
        <v>88.8</v>
      </c>
      <c r="H7" s="293">
        <v>74.8</v>
      </c>
      <c r="I7" s="293">
        <v>74.099999999999994</v>
      </c>
      <c r="J7" s="556">
        <v>33.799999999999997</v>
      </c>
      <c r="K7" s="557">
        <v>36.6</v>
      </c>
      <c r="L7" s="428">
        <v>35.4</v>
      </c>
      <c r="M7" s="558">
        <v>83.5</v>
      </c>
      <c r="N7" s="559">
        <v>36</v>
      </c>
      <c r="O7" s="557">
        <v>77</v>
      </c>
      <c r="P7" s="560">
        <v>74.8</v>
      </c>
      <c r="Q7" s="430">
        <v>17.3</v>
      </c>
      <c r="R7" s="561">
        <v>20.3</v>
      </c>
      <c r="S7" s="562">
        <v>18.8</v>
      </c>
      <c r="T7" s="440">
        <f>AVERAGE(P7,S7)</f>
        <v>46.8</v>
      </c>
      <c r="U7" s="429">
        <f>AVERAGE(G7,H7,I7,J7,M7,T7)</f>
        <v>66.966666666666669</v>
      </c>
      <c r="V7" s="489">
        <f>AVERAGE(T7,M7,L7,I7,H7,G7)</f>
        <v>67.233333333333334</v>
      </c>
      <c r="W7" s="490">
        <v>34.6</v>
      </c>
      <c r="X7" s="491">
        <v>63.2</v>
      </c>
      <c r="Y7" s="490">
        <v>58.9</v>
      </c>
      <c r="Z7" s="491">
        <v>73.8</v>
      </c>
      <c r="AA7" s="492">
        <f t="shared" ref="AA7:AA42" si="6">AVERAGE(W7:Y7)</f>
        <v>52.233333333333341</v>
      </c>
      <c r="AB7" s="415">
        <v>94.2</v>
      </c>
      <c r="AC7" s="482">
        <v>89.4</v>
      </c>
      <c r="AD7" s="482">
        <f t="shared" ref="AD7:AD10" si="7">AVERAGE(AB7,AC7)</f>
        <v>91.800000000000011</v>
      </c>
      <c r="AE7" s="493">
        <v>79.06</v>
      </c>
      <c r="AF7" s="641">
        <v>89.5</v>
      </c>
      <c r="AG7" s="195">
        <v>83.8</v>
      </c>
      <c r="AH7" s="195">
        <v>77.8</v>
      </c>
      <c r="AI7" s="195">
        <v>82.9</v>
      </c>
      <c r="AJ7" s="195">
        <v>85.4</v>
      </c>
      <c r="AK7" s="195">
        <v>56.3</v>
      </c>
      <c r="AL7" s="195">
        <v>78.2</v>
      </c>
      <c r="AM7" s="195">
        <v>73.8</v>
      </c>
      <c r="AN7" s="195">
        <v>64.7</v>
      </c>
      <c r="AO7" s="195">
        <v>87.7</v>
      </c>
      <c r="AP7" s="195">
        <v>80.8</v>
      </c>
      <c r="AQ7" s="195">
        <v>82</v>
      </c>
      <c r="AR7" s="195">
        <v>81.599999999999994</v>
      </c>
      <c r="AS7" s="207">
        <v>86.2</v>
      </c>
      <c r="AT7" s="656">
        <v>12032</v>
      </c>
      <c r="AU7" s="109">
        <v>79.099999999999994</v>
      </c>
    </row>
    <row r="8" spans="1:47" ht="13" x14ac:dyDescent="0.15">
      <c r="A8" s="452" t="s">
        <v>487</v>
      </c>
      <c r="B8" s="285" t="s">
        <v>359</v>
      </c>
      <c r="C8" s="415">
        <f t="shared" si="0"/>
        <v>66.973333333333329</v>
      </c>
      <c r="D8" s="143">
        <f t="shared" si="1"/>
        <v>65.028999999999996</v>
      </c>
      <c r="E8" s="143">
        <f t="shared" si="2"/>
        <v>67.475555555555545</v>
      </c>
      <c r="F8" s="794">
        <f>_xlfn.XLOOKUP(A8,Cost!A:A,Cost!N:N,0)</f>
        <v>209.6696</v>
      </c>
      <c r="G8" s="623">
        <v>88.63</v>
      </c>
      <c r="H8" s="292">
        <v>61.4</v>
      </c>
      <c r="I8" s="292">
        <v>70.7</v>
      </c>
      <c r="J8" s="512">
        <v>33.67</v>
      </c>
      <c r="K8" s="566">
        <v>35.090000000000003</v>
      </c>
      <c r="L8" s="493">
        <v>34.51</v>
      </c>
      <c r="M8" s="565">
        <v>87.09</v>
      </c>
      <c r="N8" s="512">
        <v>36</v>
      </c>
      <c r="O8" s="566">
        <v>83</v>
      </c>
      <c r="P8" s="530">
        <v>59.5</v>
      </c>
      <c r="Q8" s="493">
        <v>19.55</v>
      </c>
      <c r="R8" s="563">
        <v>23.3</v>
      </c>
      <c r="S8" s="494">
        <v>21.4</v>
      </c>
      <c r="T8" s="493">
        <f t="shared" ref="T8:T10" si="8">AVERAGE(P8,S8)</f>
        <v>40.450000000000003</v>
      </c>
      <c r="U8" s="293">
        <f t="shared" ref="U8:U10" si="9">AVERAGE(G8,H8,I8,J8,M8,T8)</f>
        <v>63.656666666666666</v>
      </c>
      <c r="V8" s="489">
        <f t="shared" ref="V8:V10" si="10">AVERAGE(T8,M8,L8,I8,H8,G8)</f>
        <v>63.79666666666666</v>
      </c>
      <c r="W8" s="493">
        <v>27.68</v>
      </c>
      <c r="X8" s="494">
        <v>55.69</v>
      </c>
      <c r="Y8" s="294">
        <v>56.97</v>
      </c>
      <c r="Z8" s="494">
        <v>72.010000000000005</v>
      </c>
      <c r="AA8" s="493">
        <f t="shared" si="6"/>
        <v>46.78</v>
      </c>
      <c r="AB8" s="415">
        <v>94.05</v>
      </c>
      <c r="AC8" s="482">
        <v>89.65</v>
      </c>
      <c r="AD8" s="482">
        <f t="shared" si="7"/>
        <v>91.85</v>
      </c>
      <c r="AE8" s="493">
        <v>81.349999999999994</v>
      </c>
      <c r="AF8" s="641">
        <v>91.1</v>
      </c>
      <c r="AG8" s="195">
        <v>82.9</v>
      </c>
      <c r="AH8" s="195">
        <v>84.6</v>
      </c>
      <c r="AI8" s="195">
        <v>83.7</v>
      </c>
      <c r="AJ8" s="195">
        <v>85</v>
      </c>
      <c r="AK8" s="195">
        <v>67.400000000000006</v>
      </c>
      <c r="AL8" s="195">
        <v>78.5</v>
      </c>
      <c r="AM8" s="195">
        <v>72.7</v>
      </c>
      <c r="AN8" s="195">
        <v>68.8</v>
      </c>
      <c r="AO8" s="195">
        <v>91.1</v>
      </c>
      <c r="AP8" s="195">
        <v>78.8</v>
      </c>
      <c r="AQ8" s="195">
        <v>80.400000000000006</v>
      </c>
      <c r="AR8" s="195">
        <v>83.8</v>
      </c>
      <c r="AS8" s="207">
        <v>85.7</v>
      </c>
      <c r="AT8" s="656">
        <v>12032</v>
      </c>
      <c r="AU8" s="109">
        <v>81.3</v>
      </c>
    </row>
    <row r="9" spans="1:47" ht="13" x14ac:dyDescent="0.15">
      <c r="A9" s="452" t="s">
        <v>425</v>
      </c>
      <c r="B9" s="145" t="s">
        <v>360</v>
      </c>
      <c r="C9" s="415">
        <f t="shared" si="0"/>
        <v>63.921111111111109</v>
      </c>
      <c r="D9" s="143">
        <f t="shared" si="1"/>
        <v>62.17</v>
      </c>
      <c r="E9" s="143">
        <f t="shared" si="2"/>
        <v>65.961111111111109</v>
      </c>
      <c r="F9" s="794">
        <f>_xlfn.XLOOKUP(A9,Cost!A:A,Cost!N:N,0)</f>
        <v>11.2394</v>
      </c>
      <c r="G9" s="624">
        <v>86.6</v>
      </c>
      <c r="H9" s="292">
        <v>56.4</v>
      </c>
      <c r="I9" s="625">
        <v>70.400000000000006</v>
      </c>
      <c r="J9" s="567">
        <v>22.7</v>
      </c>
      <c r="K9" s="568">
        <v>22.7</v>
      </c>
      <c r="L9" s="307">
        <v>22.7</v>
      </c>
      <c r="M9" s="569">
        <v>83.7</v>
      </c>
      <c r="N9" s="512">
        <v>31</v>
      </c>
      <c r="O9" s="566">
        <v>88</v>
      </c>
      <c r="P9" s="530">
        <v>59.5</v>
      </c>
      <c r="Q9" s="493">
        <v>7.5</v>
      </c>
      <c r="R9" s="563">
        <v>9.8000000000000007</v>
      </c>
      <c r="S9" s="494">
        <v>8.6999999999999993</v>
      </c>
      <c r="T9" s="493">
        <f t="shared" si="8"/>
        <v>34.1</v>
      </c>
      <c r="U9" s="293">
        <f t="shared" si="9"/>
        <v>58.983333333333341</v>
      </c>
      <c r="V9" s="489">
        <f t="shared" si="10"/>
        <v>58.983333333333327</v>
      </c>
      <c r="W9" s="493">
        <v>28.3</v>
      </c>
      <c r="X9" s="495">
        <v>57.2</v>
      </c>
      <c r="Y9" s="294">
        <v>56.1</v>
      </c>
      <c r="Z9" s="494">
        <v>73.2</v>
      </c>
      <c r="AA9" s="493">
        <f t="shared" si="6"/>
        <v>47.199999999999996</v>
      </c>
      <c r="AB9" s="415">
        <v>94.1</v>
      </c>
      <c r="AC9" s="482">
        <v>89.3</v>
      </c>
      <c r="AD9" s="482">
        <f t="shared" si="7"/>
        <v>91.699999999999989</v>
      </c>
      <c r="AE9" s="645">
        <v>82.49</v>
      </c>
      <c r="AF9" s="641">
        <v>91.2</v>
      </c>
      <c r="AG9" s="195">
        <v>87.5</v>
      </c>
      <c r="AH9" s="195">
        <v>86.5</v>
      </c>
      <c r="AI9" s="195">
        <v>85.6</v>
      </c>
      <c r="AJ9" s="195">
        <v>87.9</v>
      </c>
      <c r="AK9" s="195">
        <v>69.2</v>
      </c>
      <c r="AL9" s="195">
        <v>80.400000000000006</v>
      </c>
      <c r="AM9" s="195">
        <v>73.8</v>
      </c>
      <c r="AN9" s="195">
        <v>67</v>
      </c>
      <c r="AO9" s="195">
        <v>90.9</v>
      </c>
      <c r="AP9" s="195">
        <v>80.5</v>
      </c>
      <c r="AQ9" s="195">
        <v>81</v>
      </c>
      <c r="AR9" s="195">
        <v>87.2</v>
      </c>
      <c r="AS9" s="207">
        <v>82.7</v>
      </c>
      <c r="AT9" s="656">
        <v>12032</v>
      </c>
      <c r="AU9" s="109">
        <v>82.6</v>
      </c>
    </row>
    <row r="10" spans="1:47" ht="14" thickBot="1" x14ac:dyDescent="0.2">
      <c r="A10" s="617" t="s">
        <v>19</v>
      </c>
      <c r="B10" s="400" t="s">
        <v>359</v>
      </c>
      <c r="C10" s="295">
        <f t="shared" si="0"/>
        <v>59.761740740740748</v>
      </c>
      <c r="D10" s="70">
        <f t="shared" si="1"/>
        <v>57.864899999999992</v>
      </c>
      <c r="E10" s="70">
        <f t="shared" si="2"/>
        <v>63.436055555555548</v>
      </c>
      <c r="F10" s="792">
        <f>_xlfn.XLOOKUP(A10,Cost!A:A,Cost!N:N,0)</f>
        <v>166.23759999999999</v>
      </c>
      <c r="G10" s="626">
        <v>79</v>
      </c>
      <c r="H10" s="401">
        <v>51.6</v>
      </c>
      <c r="I10" s="401">
        <v>65.05</v>
      </c>
      <c r="J10" s="570">
        <v>12.2</v>
      </c>
      <c r="K10" s="571">
        <v>12.7</v>
      </c>
      <c r="L10" s="437">
        <v>12.5</v>
      </c>
      <c r="M10" s="572">
        <v>78.498999999999995</v>
      </c>
      <c r="N10" s="570">
        <v>30</v>
      </c>
      <c r="O10" s="571">
        <v>87</v>
      </c>
      <c r="P10" s="573">
        <v>58.5</v>
      </c>
      <c r="Q10" s="437">
        <v>4.5</v>
      </c>
      <c r="R10" s="574">
        <v>6</v>
      </c>
      <c r="S10" s="517">
        <v>5.3</v>
      </c>
      <c r="T10" s="437">
        <f t="shared" si="8"/>
        <v>31.9</v>
      </c>
      <c r="U10" s="404">
        <f t="shared" si="9"/>
        <v>53.041499999999985</v>
      </c>
      <c r="V10" s="496">
        <f t="shared" si="10"/>
        <v>53.091499999999996</v>
      </c>
      <c r="W10" s="437">
        <v>30.3</v>
      </c>
      <c r="X10" s="497">
        <v>60.2</v>
      </c>
      <c r="Y10" s="498">
        <v>48</v>
      </c>
      <c r="Z10" s="497">
        <v>67.099999999999994</v>
      </c>
      <c r="AA10" s="401">
        <f t="shared" si="6"/>
        <v>46.166666666666664</v>
      </c>
      <c r="AB10" s="499">
        <v>93.5</v>
      </c>
      <c r="AC10" s="500">
        <v>88.6</v>
      </c>
      <c r="AD10" s="500">
        <f t="shared" si="7"/>
        <v>91.05</v>
      </c>
      <c r="AE10" s="646">
        <v>82.09</v>
      </c>
      <c r="AF10" s="642">
        <v>91.2</v>
      </c>
      <c r="AG10" s="643">
        <v>87.8</v>
      </c>
      <c r="AH10" s="643">
        <v>87.9</v>
      </c>
      <c r="AI10" s="643">
        <v>85.1</v>
      </c>
      <c r="AJ10" s="643">
        <v>86</v>
      </c>
      <c r="AK10" s="643">
        <v>72.3</v>
      </c>
      <c r="AL10" s="643">
        <v>78</v>
      </c>
      <c r="AM10" s="643">
        <v>72.7</v>
      </c>
      <c r="AN10" s="643">
        <v>67.8</v>
      </c>
      <c r="AO10" s="643">
        <v>87.3</v>
      </c>
      <c r="AP10" s="643">
        <v>80</v>
      </c>
      <c r="AQ10" s="643">
        <v>78</v>
      </c>
      <c r="AR10" s="643">
        <v>86.7</v>
      </c>
      <c r="AS10" s="654">
        <v>83.2</v>
      </c>
      <c r="AT10" s="657">
        <v>12032</v>
      </c>
      <c r="AU10" s="253">
        <v>82.1</v>
      </c>
    </row>
    <row r="11" spans="1:47" ht="14" thickBot="1" x14ac:dyDescent="0.2">
      <c r="A11" s="449"/>
      <c r="B11" s="92"/>
      <c r="C11" s="447"/>
      <c r="D11" s="187"/>
      <c r="E11" s="395"/>
      <c r="F11" s="665"/>
      <c r="G11" s="435"/>
      <c r="H11" s="435"/>
      <c r="I11" s="435"/>
      <c r="J11" s="435"/>
      <c r="K11" s="435"/>
      <c r="L11" s="435"/>
      <c r="M11" s="435"/>
      <c r="N11" s="435"/>
      <c r="O11" s="435"/>
      <c r="P11" s="435"/>
      <c r="Q11" s="435"/>
      <c r="R11" s="435"/>
      <c r="S11" s="435"/>
      <c r="T11" s="435"/>
      <c r="U11" s="435"/>
      <c r="V11" s="435"/>
      <c r="W11" s="435"/>
      <c r="X11" s="435"/>
      <c r="Y11" s="435"/>
      <c r="Z11" s="435"/>
      <c r="AA11" s="435"/>
      <c r="AB11" s="435"/>
      <c r="AC11" s="435"/>
      <c r="AD11" s="435"/>
      <c r="AE11" s="435"/>
      <c r="AF11" s="395"/>
      <c r="AG11" s="395"/>
      <c r="AH11" s="395"/>
      <c r="AI11" s="395"/>
      <c r="AJ11" s="395"/>
      <c r="AK11" s="395"/>
      <c r="AL11" s="395"/>
      <c r="AM11" s="395"/>
      <c r="AN11" s="395"/>
      <c r="AO11" s="395"/>
      <c r="AP11" s="395"/>
      <c r="AQ11" s="395"/>
      <c r="AR11" s="395"/>
      <c r="AS11" s="395"/>
      <c r="AT11" s="659"/>
      <c r="AU11" s="395"/>
    </row>
    <row r="12" spans="1:47" ht="13" x14ac:dyDescent="0.15">
      <c r="A12" s="450" t="s">
        <v>477</v>
      </c>
      <c r="B12" s="397" t="s">
        <v>21</v>
      </c>
      <c r="C12" s="413">
        <f t="shared" ref="C12:C17" si="11">AVERAGE(AE12,G12,H12,I12,L12,M12,T12,AA12,AD12)</f>
        <v>62.827777777777783</v>
      </c>
      <c r="D12" s="108">
        <f t="shared" ref="D12:D17" si="12">AVERAGE(G12,H12,I12,J12,M12,T12,W12,Y12,AB12,AC12)</f>
        <v>62.914999999999999</v>
      </c>
      <c r="E12" s="618">
        <f t="shared" ref="E12:E17" si="13">AVERAGE(AA12,V12,AD12)</f>
        <v>66.311111111111117</v>
      </c>
      <c r="F12" s="793">
        <f>_xlfn.XLOOKUP(A12,Cost!A:A,Cost!N:N,0)</f>
        <v>2.8332999999999999</v>
      </c>
      <c r="G12" s="627">
        <v>75.5</v>
      </c>
      <c r="H12" s="399">
        <v>65.8</v>
      </c>
      <c r="I12" s="628">
        <v>67.099999999999994</v>
      </c>
      <c r="J12" s="575">
        <v>61.1</v>
      </c>
      <c r="K12" s="576">
        <v>63.6</v>
      </c>
      <c r="L12" s="502">
        <v>62.5</v>
      </c>
      <c r="M12" s="577">
        <v>77.8</v>
      </c>
      <c r="N12" s="504">
        <v>16</v>
      </c>
      <c r="O12" s="578">
        <v>85</v>
      </c>
      <c r="P12" s="579">
        <v>50.5</v>
      </c>
      <c r="Q12" s="502">
        <v>2.2999999999999998</v>
      </c>
      <c r="R12" s="578">
        <v>4.5</v>
      </c>
      <c r="S12" s="502">
        <v>3.4</v>
      </c>
      <c r="T12" s="399">
        <f t="shared" ref="T12:T42" si="14">AVERAGE(P12,S12)</f>
        <v>26.95</v>
      </c>
      <c r="U12" s="399">
        <v>60.550000000000004</v>
      </c>
      <c r="V12" s="501">
        <v>66.533333333333331</v>
      </c>
      <c r="W12" s="502">
        <v>26.4</v>
      </c>
      <c r="X12" s="503">
        <v>52.5</v>
      </c>
      <c r="Y12" s="504">
        <v>48.9</v>
      </c>
      <c r="Z12" s="505">
        <v>67.3</v>
      </c>
      <c r="AA12" s="506">
        <f t="shared" si="6"/>
        <v>42.6</v>
      </c>
      <c r="AB12" s="413">
        <v>92.2</v>
      </c>
      <c r="AC12" s="470">
        <v>87.4</v>
      </c>
      <c r="AD12" s="507">
        <v>89.800000000000011</v>
      </c>
      <c r="AE12" s="649">
        <v>57.4</v>
      </c>
      <c r="AF12" s="647">
        <v>78.2</v>
      </c>
      <c r="AG12" s="648">
        <v>56.5</v>
      </c>
      <c r="AH12" s="648">
        <v>47.7</v>
      </c>
      <c r="AI12" s="648">
        <v>63.2</v>
      </c>
      <c r="AJ12" s="648">
        <v>72</v>
      </c>
      <c r="AK12" s="648">
        <v>48</v>
      </c>
      <c r="AL12" s="648">
        <v>66.900000000000006</v>
      </c>
      <c r="AM12" s="648">
        <v>55.1</v>
      </c>
      <c r="AN12" s="648">
        <v>35.6</v>
      </c>
      <c r="AO12" s="648">
        <v>60.5</v>
      </c>
      <c r="AP12" s="648">
        <v>59.1</v>
      </c>
      <c r="AQ12" s="648">
        <v>59.5</v>
      </c>
      <c r="AR12" s="648">
        <v>49.1</v>
      </c>
      <c r="AS12" s="653">
        <v>72.400000000000006</v>
      </c>
      <c r="AT12" s="655">
        <v>12032</v>
      </c>
      <c r="AU12" s="108">
        <v>57.4</v>
      </c>
    </row>
    <row r="13" spans="1:47" ht="13" x14ac:dyDescent="0.15">
      <c r="A13" s="451" t="s">
        <v>476</v>
      </c>
      <c r="B13" s="148" t="s">
        <v>21</v>
      </c>
      <c r="C13" s="415">
        <f t="shared" si="11"/>
        <v>62.185925925925922</v>
      </c>
      <c r="D13" s="143">
        <f t="shared" si="12"/>
        <v>62.355000000000004</v>
      </c>
      <c r="E13" s="619">
        <f t="shared" si="13"/>
        <v>65.816666666666663</v>
      </c>
      <c r="F13" s="794">
        <f>_xlfn.XLOOKUP(A13,Cost!A:A,Cost!N:N,0)</f>
        <v>2.1749999999999998</v>
      </c>
      <c r="G13" s="629">
        <v>72.5</v>
      </c>
      <c r="H13" s="293">
        <v>63.4</v>
      </c>
      <c r="I13" s="630">
        <v>67.7</v>
      </c>
      <c r="J13" s="580">
        <v>62.4</v>
      </c>
      <c r="K13" s="581">
        <v>64.7</v>
      </c>
      <c r="L13" s="493">
        <v>63.7</v>
      </c>
      <c r="M13" s="582">
        <v>78.900000000000006</v>
      </c>
      <c r="N13" s="508">
        <v>18</v>
      </c>
      <c r="O13" s="583">
        <v>89</v>
      </c>
      <c r="P13" s="584">
        <v>53.5</v>
      </c>
      <c r="Q13" s="493">
        <v>3</v>
      </c>
      <c r="R13" s="583">
        <v>3.8</v>
      </c>
      <c r="S13" s="493">
        <v>3.4</v>
      </c>
      <c r="T13" s="293">
        <f t="shared" si="14"/>
        <v>28.45</v>
      </c>
      <c r="U13" s="476">
        <v>60.483333333333327</v>
      </c>
      <c r="V13" s="415">
        <v>66.61666666666666</v>
      </c>
      <c r="W13" s="493">
        <v>28.1</v>
      </c>
      <c r="X13" s="494">
        <v>53.5</v>
      </c>
      <c r="Y13" s="508">
        <v>44.5</v>
      </c>
      <c r="Z13" s="509">
        <v>64.3</v>
      </c>
      <c r="AA13" s="493">
        <f t="shared" si="6"/>
        <v>42.033333333333331</v>
      </c>
      <c r="AB13" s="510">
        <v>91</v>
      </c>
      <c r="AC13" s="511">
        <v>86.6</v>
      </c>
      <c r="AD13" s="511">
        <v>88.8</v>
      </c>
      <c r="AE13" s="187">
        <v>54.19</v>
      </c>
      <c r="AF13" s="641">
        <v>77.400000000000006</v>
      </c>
      <c r="AG13" s="195">
        <v>49</v>
      </c>
      <c r="AH13" s="195">
        <v>39.200000000000003</v>
      </c>
      <c r="AI13" s="195">
        <v>61.7</v>
      </c>
      <c r="AJ13" s="195">
        <v>69.3</v>
      </c>
      <c r="AK13" s="195">
        <v>40.4</v>
      </c>
      <c r="AL13" s="195">
        <v>64.5</v>
      </c>
      <c r="AM13" s="195">
        <v>54.1</v>
      </c>
      <c r="AN13" s="195">
        <v>41</v>
      </c>
      <c r="AO13" s="195">
        <v>53.9</v>
      </c>
      <c r="AP13" s="195">
        <v>56.2</v>
      </c>
      <c r="AQ13" s="195">
        <v>57.5</v>
      </c>
      <c r="AR13" s="195">
        <v>46</v>
      </c>
      <c r="AS13" s="207">
        <v>73.8</v>
      </c>
      <c r="AT13" s="656">
        <v>12032</v>
      </c>
      <c r="AU13" s="109">
        <v>54.2</v>
      </c>
    </row>
    <row r="14" spans="1:47" ht="13" x14ac:dyDescent="0.15">
      <c r="A14" s="452" t="s">
        <v>473</v>
      </c>
      <c r="B14" s="61" t="s">
        <v>21</v>
      </c>
      <c r="C14" s="415">
        <f t="shared" si="11"/>
        <v>62.160370370370373</v>
      </c>
      <c r="D14" s="143">
        <f t="shared" si="12"/>
        <v>62.4</v>
      </c>
      <c r="E14" s="619">
        <f t="shared" si="13"/>
        <v>65.858333333333334</v>
      </c>
      <c r="F14" s="794">
        <f>_xlfn.XLOOKUP(A14,Cost!A:A,Cost!N:N,0)</f>
        <v>2.5083000000000002</v>
      </c>
      <c r="G14" s="623">
        <v>76</v>
      </c>
      <c r="H14" s="292">
        <v>61.6</v>
      </c>
      <c r="I14" s="292">
        <v>68.25</v>
      </c>
      <c r="J14" s="512">
        <v>61.9</v>
      </c>
      <c r="K14" s="566">
        <v>64.8</v>
      </c>
      <c r="L14" s="493">
        <v>63.6</v>
      </c>
      <c r="M14" s="565">
        <v>75.7</v>
      </c>
      <c r="N14" s="512">
        <v>17</v>
      </c>
      <c r="O14" s="566">
        <v>84</v>
      </c>
      <c r="P14" s="530">
        <v>50.5</v>
      </c>
      <c r="Q14" s="493">
        <v>3.8</v>
      </c>
      <c r="R14" s="583">
        <v>7.5</v>
      </c>
      <c r="S14" s="493">
        <v>5.6</v>
      </c>
      <c r="T14" s="293">
        <f t="shared" si="14"/>
        <v>28.05</v>
      </c>
      <c r="U14" s="415">
        <v>60.074999999999996</v>
      </c>
      <c r="V14" s="487">
        <v>65.941666666666677</v>
      </c>
      <c r="W14" s="493">
        <v>27</v>
      </c>
      <c r="X14" s="494">
        <v>53.2</v>
      </c>
      <c r="Y14" s="508">
        <v>47.1</v>
      </c>
      <c r="Z14" s="509">
        <v>66.599999999999994</v>
      </c>
      <c r="AA14" s="493">
        <f t="shared" si="6"/>
        <v>42.433333333333337</v>
      </c>
      <c r="AB14" s="415">
        <v>91.5</v>
      </c>
      <c r="AC14" s="482">
        <v>86.9</v>
      </c>
      <c r="AD14" s="482">
        <v>89.2</v>
      </c>
      <c r="AE14" s="187">
        <v>54.61</v>
      </c>
      <c r="AF14" s="641">
        <v>77.099999999999994</v>
      </c>
      <c r="AG14" s="195">
        <v>48.8</v>
      </c>
      <c r="AH14" s="195">
        <v>40.1</v>
      </c>
      <c r="AI14" s="195">
        <v>62.2</v>
      </c>
      <c r="AJ14" s="195">
        <v>71</v>
      </c>
      <c r="AK14" s="195">
        <v>41.3</v>
      </c>
      <c r="AL14" s="195">
        <v>66.400000000000006</v>
      </c>
      <c r="AM14" s="195">
        <v>54.3</v>
      </c>
      <c r="AN14" s="195">
        <v>40.4</v>
      </c>
      <c r="AO14" s="195">
        <v>54.8</v>
      </c>
      <c r="AP14" s="195">
        <v>55.5</v>
      </c>
      <c r="AQ14" s="195">
        <v>60.3</v>
      </c>
      <c r="AR14" s="195">
        <v>45.8</v>
      </c>
      <c r="AS14" s="207">
        <v>72.7</v>
      </c>
      <c r="AT14" s="656">
        <v>12032</v>
      </c>
      <c r="AU14" s="109">
        <v>54.6</v>
      </c>
    </row>
    <row r="15" spans="1:47" ht="13" x14ac:dyDescent="0.15">
      <c r="A15" s="451" t="s">
        <v>474</v>
      </c>
      <c r="B15" s="376" t="s">
        <v>21</v>
      </c>
      <c r="C15" s="415">
        <f t="shared" si="11"/>
        <v>63.235185185185188</v>
      </c>
      <c r="D15" s="143">
        <f t="shared" si="12"/>
        <v>61.595000000000006</v>
      </c>
      <c r="E15" s="619">
        <f t="shared" si="13"/>
        <v>62.627777777777773</v>
      </c>
      <c r="F15" s="794">
        <f>_xlfn.XLOOKUP(A15,Cost!A:A,Cost!N:N,0)</f>
        <v>2.8833000000000002</v>
      </c>
      <c r="G15" s="440">
        <v>72.900000000000006</v>
      </c>
      <c r="H15" s="293">
        <v>67.2</v>
      </c>
      <c r="I15" s="293">
        <v>69.8</v>
      </c>
      <c r="J15" s="585">
        <v>62.4</v>
      </c>
      <c r="K15" s="586">
        <v>64.8</v>
      </c>
      <c r="L15" s="587">
        <v>63.8</v>
      </c>
      <c r="M15" s="588">
        <v>83.1</v>
      </c>
      <c r="N15" s="508">
        <v>11</v>
      </c>
      <c r="O15" s="583">
        <v>82</v>
      </c>
      <c r="P15" s="584">
        <v>46.5</v>
      </c>
      <c r="Q15" s="493">
        <v>6.8</v>
      </c>
      <c r="R15" s="583">
        <v>30.1</v>
      </c>
      <c r="S15" s="493">
        <v>18.399999999999999</v>
      </c>
      <c r="T15" s="293">
        <f t="shared" si="14"/>
        <v>32.450000000000003</v>
      </c>
      <c r="U15" s="109">
        <v>61.066666666666663</v>
      </c>
      <c r="V15" s="109">
        <v>67.216666666666654</v>
      </c>
      <c r="W15" s="493">
        <v>7.8</v>
      </c>
      <c r="X15" s="495">
        <v>44.3</v>
      </c>
      <c r="Y15" s="512">
        <v>41.1</v>
      </c>
      <c r="Z15" s="513">
        <v>63.1</v>
      </c>
      <c r="AA15" s="493">
        <f t="shared" si="6"/>
        <v>31.066666666666663</v>
      </c>
      <c r="AB15" s="510">
        <v>92</v>
      </c>
      <c r="AC15" s="511">
        <v>87.2</v>
      </c>
      <c r="AD15" s="511">
        <v>89.6</v>
      </c>
      <c r="AE15" s="187">
        <v>59.2</v>
      </c>
      <c r="AF15" s="641">
        <v>79.099999999999994</v>
      </c>
      <c r="AG15" s="195">
        <v>60.5</v>
      </c>
      <c r="AH15" s="195">
        <v>52.4</v>
      </c>
      <c r="AI15" s="195">
        <v>63.4</v>
      </c>
      <c r="AJ15" s="195">
        <v>72.3</v>
      </c>
      <c r="AK15" s="195">
        <v>50.3</v>
      </c>
      <c r="AL15" s="195">
        <v>63.8</v>
      </c>
      <c r="AM15" s="195">
        <v>54.6</v>
      </c>
      <c r="AN15" s="195">
        <v>37.799999999999997</v>
      </c>
      <c r="AO15" s="195">
        <v>63.1</v>
      </c>
      <c r="AP15" s="195">
        <v>59.1</v>
      </c>
      <c r="AQ15" s="195">
        <v>59.3</v>
      </c>
      <c r="AR15" s="195">
        <v>55</v>
      </c>
      <c r="AS15" s="207">
        <v>71.900000000000006</v>
      </c>
      <c r="AT15" s="656">
        <v>12032</v>
      </c>
      <c r="AU15" s="109">
        <v>59.2</v>
      </c>
    </row>
    <row r="16" spans="1:47" ht="13" x14ac:dyDescent="0.15">
      <c r="A16" s="453" t="s">
        <v>475</v>
      </c>
      <c r="B16" s="234" t="s">
        <v>21</v>
      </c>
      <c r="C16" s="415">
        <f t="shared" si="11"/>
        <v>63.717777777777783</v>
      </c>
      <c r="D16" s="143">
        <f t="shared" si="12"/>
        <v>61.719999999999992</v>
      </c>
      <c r="E16" s="143">
        <f t="shared" si="13"/>
        <v>62.022222222222219</v>
      </c>
      <c r="F16" s="794">
        <f>_xlfn.XLOOKUP(A16,Cost!A:A,Cost!N:N,0)</f>
        <v>2.7277999999999998</v>
      </c>
      <c r="G16" s="441">
        <v>75.400000000000006</v>
      </c>
      <c r="H16" s="429">
        <v>63.4</v>
      </c>
      <c r="I16" s="429">
        <v>69</v>
      </c>
      <c r="J16" s="559">
        <v>60.2</v>
      </c>
      <c r="K16" s="557">
        <v>64.8</v>
      </c>
      <c r="L16" s="430">
        <v>62.9</v>
      </c>
      <c r="M16" s="558">
        <v>83.5</v>
      </c>
      <c r="N16" s="559">
        <v>13</v>
      </c>
      <c r="O16" s="557">
        <v>81</v>
      </c>
      <c r="P16" s="560">
        <v>47</v>
      </c>
      <c r="Q16" s="430">
        <v>12.8</v>
      </c>
      <c r="R16" s="557">
        <v>60.9</v>
      </c>
      <c r="S16" s="430">
        <v>36.799999999999997</v>
      </c>
      <c r="T16" s="429">
        <f t="shared" si="14"/>
        <v>41.9</v>
      </c>
      <c r="U16" s="415">
        <v>60.75</v>
      </c>
      <c r="V16" s="487">
        <v>66.86666666666666</v>
      </c>
      <c r="W16" s="430">
        <v>8.4</v>
      </c>
      <c r="X16" s="514">
        <v>44.4</v>
      </c>
      <c r="Y16" s="515">
        <v>36.6</v>
      </c>
      <c r="Z16" s="516">
        <v>60.9</v>
      </c>
      <c r="AA16" s="493">
        <f t="shared" si="6"/>
        <v>29.8</v>
      </c>
      <c r="AB16" s="415">
        <v>91.9</v>
      </c>
      <c r="AC16" s="482">
        <v>86.9</v>
      </c>
      <c r="AD16" s="482">
        <v>89.4</v>
      </c>
      <c r="AE16" s="650">
        <v>58.16</v>
      </c>
      <c r="AF16" s="641">
        <v>79.900000000000006</v>
      </c>
      <c r="AG16" s="195">
        <v>59.7</v>
      </c>
      <c r="AH16" s="195">
        <v>50.8</v>
      </c>
      <c r="AI16" s="195">
        <v>64.900000000000006</v>
      </c>
      <c r="AJ16" s="195">
        <v>71.7</v>
      </c>
      <c r="AK16" s="195">
        <v>50.3</v>
      </c>
      <c r="AL16" s="195">
        <v>63.9</v>
      </c>
      <c r="AM16" s="195">
        <v>54.6</v>
      </c>
      <c r="AN16" s="195">
        <v>35.299999999999997</v>
      </c>
      <c r="AO16" s="195">
        <v>60.9</v>
      </c>
      <c r="AP16" s="195">
        <v>58.5</v>
      </c>
      <c r="AQ16" s="195">
        <v>58.1</v>
      </c>
      <c r="AR16" s="195">
        <v>52.3</v>
      </c>
      <c r="AS16" s="207">
        <v>71.2</v>
      </c>
      <c r="AT16" s="656">
        <v>12032</v>
      </c>
      <c r="AU16" s="109">
        <v>58.2</v>
      </c>
    </row>
    <row r="17" spans="1:47" ht="14" thickBot="1" x14ac:dyDescent="0.2">
      <c r="A17" s="454" t="s">
        <v>413</v>
      </c>
      <c r="B17" s="403" t="s">
        <v>358</v>
      </c>
      <c r="C17" s="295">
        <f t="shared" si="11"/>
        <v>49.305555555555557</v>
      </c>
      <c r="D17" s="70">
        <f t="shared" si="12"/>
        <v>49.61</v>
      </c>
      <c r="E17" s="70">
        <f t="shared" si="13"/>
        <v>58.972222222222229</v>
      </c>
      <c r="F17" s="792">
        <f>_xlfn.XLOOKUP(A17,Cost!A:A,Cost!N:N,0)</f>
        <v>10.666700000000001</v>
      </c>
      <c r="G17" s="442">
        <v>52.9</v>
      </c>
      <c r="H17" s="404">
        <v>18.2</v>
      </c>
      <c r="I17" s="404">
        <v>59.5</v>
      </c>
      <c r="J17" s="518">
        <v>7.4</v>
      </c>
      <c r="K17" s="589">
        <v>7.7</v>
      </c>
      <c r="L17" s="574">
        <v>7.6</v>
      </c>
      <c r="M17" s="590">
        <v>78.8</v>
      </c>
      <c r="N17" s="518">
        <v>16</v>
      </c>
      <c r="O17" s="589">
        <v>80</v>
      </c>
      <c r="P17" s="591">
        <v>48</v>
      </c>
      <c r="Q17" s="437">
        <v>1</v>
      </c>
      <c r="R17" s="589">
        <v>3</v>
      </c>
      <c r="S17" s="437">
        <v>2</v>
      </c>
      <c r="T17" s="404">
        <f t="shared" si="14"/>
        <v>25</v>
      </c>
      <c r="U17" s="70">
        <f>AVERAGE(G17,H17,I17,J17,M17,N17)</f>
        <v>38.800000000000004</v>
      </c>
      <c r="V17" s="70">
        <f>AVERAGE(P17,M17,L17,I17,H17,G17)</f>
        <v>44.166666666666664</v>
      </c>
      <c r="W17" s="437">
        <v>24.1</v>
      </c>
      <c r="X17" s="517">
        <v>53.8</v>
      </c>
      <c r="Y17" s="518">
        <v>49.9</v>
      </c>
      <c r="Z17" s="519">
        <v>69.099999999999994</v>
      </c>
      <c r="AA17" s="401">
        <f t="shared" si="6"/>
        <v>42.6</v>
      </c>
      <c r="AB17" s="404">
        <v>92.6</v>
      </c>
      <c r="AC17" s="442">
        <v>87.7</v>
      </c>
      <c r="AD17" s="442">
        <f t="shared" ref="AD17" si="15">AVERAGE(AB17,AC17)</f>
        <v>90.15</v>
      </c>
      <c r="AE17" s="445">
        <v>69</v>
      </c>
      <c r="AF17" s="642">
        <v>84.4</v>
      </c>
      <c r="AG17" s="643">
        <v>75.2</v>
      </c>
      <c r="AH17" s="643">
        <v>70.400000000000006</v>
      </c>
      <c r="AI17" s="643">
        <v>73.900000000000006</v>
      </c>
      <c r="AJ17" s="643">
        <v>77.5</v>
      </c>
      <c r="AK17" s="643">
        <v>55.2</v>
      </c>
      <c r="AL17" s="643">
        <v>70.900000000000006</v>
      </c>
      <c r="AM17" s="643">
        <v>58.3</v>
      </c>
      <c r="AN17" s="643">
        <v>44.3</v>
      </c>
      <c r="AO17" s="643">
        <v>79.099999999999994</v>
      </c>
      <c r="AP17" s="643">
        <v>66.099999999999994</v>
      </c>
      <c r="AQ17" s="643">
        <v>59.9</v>
      </c>
      <c r="AR17" s="643">
        <v>72.3</v>
      </c>
      <c r="AS17" s="654">
        <v>76.3</v>
      </c>
      <c r="AT17" s="657">
        <v>12032</v>
      </c>
      <c r="AU17" s="253">
        <v>69</v>
      </c>
    </row>
    <row r="18" spans="1:47" ht="14" thickBot="1" x14ac:dyDescent="0.2">
      <c r="A18" s="455"/>
      <c r="B18" s="406"/>
      <c r="C18" s="446"/>
      <c r="D18" s="445"/>
      <c r="E18" s="436"/>
      <c r="F18" s="666"/>
      <c r="G18" s="437"/>
      <c r="H18" s="444"/>
      <c r="I18" s="437"/>
      <c r="J18" s="592"/>
      <c r="K18" s="520"/>
      <c r="L18" s="435"/>
      <c r="M18" s="437"/>
      <c r="N18" s="435"/>
      <c r="O18" s="520"/>
      <c r="P18" s="435"/>
      <c r="Q18" s="437"/>
      <c r="R18" s="520"/>
      <c r="S18" s="435"/>
      <c r="T18" s="435"/>
      <c r="U18" s="436"/>
      <c r="V18" s="187"/>
      <c r="W18" s="435"/>
      <c r="X18" s="520"/>
      <c r="Y18" s="520"/>
      <c r="Z18" s="520"/>
      <c r="AA18" s="435"/>
      <c r="AB18" s="437"/>
      <c r="AC18" s="521"/>
      <c r="AD18" s="522"/>
      <c r="AE18" s="395"/>
      <c r="AF18" s="395"/>
      <c r="AG18" s="395"/>
      <c r="AH18" s="395"/>
      <c r="AI18" s="395"/>
      <c r="AJ18" s="395"/>
      <c r="AK18" s="395"/>
      <c r="AL18" s="395"/>
      <c r="AM18" s="395"/>
      <c r="AN18" s="395"/>
      <c r="AO18" s="395"/>
      <c r="AP18" s="395"/>
      <c r="AQ18" s="395"/>
      <c r="AR18" s="395"/>
      <c r="AS18" s="395"/>
      <c r="AT18" s="659"/>
      <c r="AU18" s="395"/>
    </row>
    <row r="19" spans="1:47" ht="13" x14ac:dyDescent="0.15">
      <c r="A19" s="450" t="s">
        <v>486</v>
      </c>
      <c r="B19" s="397" t="s">
        <v>21</v>
      </c>
      <c r="C19" s="413">
        <f t="shared" ref="C19:C24" si="16">AVERAGE(AE19,G19,H19,I19,L19,M19,T19,AA19,AD19)</f>
        <v>60.595925925925926</v>
      </c>
      <c r="D19" s="108">
        <v>60.885000000000005</v>
      </c>
      <c r="E19" s="108">
        <v>63.391666666666673</v>
      </c>
      <c r="F19" s="664">
        <f>_xlfn.XLOOKUP(A19,Cost!A:A,Cost!N:N,0)</f>
        <v>6.0693999999999999</v>
      </c>
      <c r="G19" s="439">
        <v>74.5</v>
      </c>
      <c r="H19" s="631">
        <v>58.6</v>
      </c>
      <c r="I19" s="632">
        <v>68.5</v>
      </c>
      <c r="J19" s="504">
        <v>48.7</v>
      </c>
      <c r="K19" s="578">
        <v>51</v>
      </c>
      <c r="L19" s="502">
        <v>50.1</v>
      </c>
      <c r="M19" s="593">
        <v>85</v>
      </c>
      <c r="N19" s="594">
        <v>14</v>
      </c>
      <c r="O19" s="502">
        <v>80</v>
      </c>
      <c r="P19" s="579">
        <v>47</v>
      </c>
      <c r="Q19" s="523">
        <v>2.2999999999999998</v>
      </c>
      <c r="R19" s="595">
        <v>7.5</v>
      </c>
      <c r="S19" s="596">
        <v>4.9000000000000004</v>
      </c>
      <c r="T19" s="399">
        <v>25.95</v>
      </c>
      <c r="U19" s="399">
        <v>60.208333333333336</v>
      </c>
      <c r="V19" s="434">
        <v>60.44166666666667</v>
      </c>
      <c r="W19" s="523">
        <v>22.5</v>
      </c>
      <c r="X19" s="439">
        <v>53</v>
      </c>
      <c r="Y19" s="504">
        <v>47.9</v>
      </c>
      <c r="Z19" s="505">
        <v>68.099999999999994</v>
      </c>
      <c r="AA19" s="434">
        <f t="shared" si="6"/>
        <v>41.133333333333333</v>
      </c>
      <c r="AB19" s="507">
        <v>91</v>
      </c>
      <c r="AC19" s="507">
        <v>86.2</v>
      </c>
      <c r="AD19" s="524">
        <v>88.6</v>
      </c>
      <c r="AE19" s="593">
        <v>52.98</v>
      </c>
      <c r="AF19" s="639">
        <v>80.599999999999994</v>
      </c>
      <c r="AG19" s="640">
        <v>43.2</v>
      </c>
      <c r="AH19" s="640">
        <v>40.5</v>
      </c>
      <c r="AI19" s="640">
        <v>55.4</v>
      </c>
      <c r="AJ19" s="640">
        <v>69.3</v>
      </c>
      <c r="AK19" s="640">
        <v>47.5</v>
      </c>
      <c r="AL19" s="640">
        <v>63.8</v>
      </c>
      <c r="AM19" s="640">
        <v>61.7</v>
      </c>
      <c r="AN19" s="640">
        <v>36.6</v>
      </c>
      <c r="AO19" s="640">
        <v>49.5</v>
      </c>
      <c r="AP19" s="640">
        <v>52.3</v>
      </c>
      <c r="AQ19" s="640">
        <v>53.5</v>
      </c>
      <c r="AR19" s="640">
        <v>44.6</v>
      </c>
      <c r="AS19" s="651">
        <v>70.900000000000006</v>
      </c>
      <c r="AT19" s="658">
        <v>12032</v>
      </c>
      <c r="AU19" s="108">
        <v>53</v>
      </c>
    </row>
    <row r="20" spans="1:47" ht="13" x14ac:dyDescent="0.15">
      <c r="A20" s="451" t="s">
        <v>484</v>
      </c>
      <c r="B20" s="148" t="s">
        <v>21</v>
      </c>
      <c r="C20" s="415">
        <f t="shared" si="16"/>
        <v>59.088148148148143</v>
      </c>
      <c r="D20" s="143">
        <v>59</v>
      </c>
      <c r="E20" s="143">
        <v>62.316666666666663</v>
      </c>
      <c r="F20" s="794">
        <f>_xlfn.XLOOKUP(A20,Cost!A:A,Cost!N:N,0)</f>
        <v>4.4805999999999999</v>
      </c>
      <c r="G20" s="629">
        <v>63.3</v>
      </c>
      <c r="H20" s="293">
        <v>52.8</v>
      </c>
      <c r="I20" s="293">
        <v>63</v>
      </c>
      <c r="J20" s="597">
        <v>48.9</v>
      </c>
      <c r="K20" s="581">
        <v>52.4</v>
      </c>
      <c r="L20" s="493">
        <v>50.9</v>
      </c>
      <c r="M20" s="582">
        <v>83.6</v>
      </c>
      <c r="N20" s="493">
        <v>16</v>
      </c>
      <c r="O20" s="583">
        <v>82</v>
      </c>
      <c r="P20" s="584">
        <v>49</v>
      </c>
      <c r="Q20" s="493">
        <v>6</v>
      </c>
      <c r="R20" s="307">
        <v>19.600000000000001</v>
      </c>
      <c r="S20" s="564">
        <v>12.8</v>
      </c>
      <c r="T20" s="293">
        <v>30.9</v>
      </c>
      <c r="U20" s="293">
        <v>57.083333333333336</v>
      </c>
      <c r="V20" s="489">
        <v>57.416666666666664</v>
      </c>
      <c r="W20" s="493">
        <v>21.5</v>
      </c>
      <c r="X20" s="513">
        <v>52.3</v>
      </c>
      <c r="Y20" s="512">
        <v>48.4</v>
      </c>
      <c r="Z20" s="509">
        <v>68.5</v>
      </c>
      <c r="AA20" s="493">
        <f t="shared" si="6"/>
        <v>40.733333333333327</v>
      </c>
      <c r="AB20" s="429">
        <v>91.2</v>
      </c>
      <c r="AC20" s="482">
        <v>86.4</v>
      </c>
      <c r="AD20" s="486">
        <v>88.800000000000011</v>
      </c>
      <c r="AE20" s="636">
        <v>57.76</v>
      </c>
      <c r="AF20" s="641">
        <v>80.5</v>
      </c>
      <c r="AG20" s="195">
        <v>59.8</v>
      </c>
      <c r="AH20" s="195">
        <v>54.3</v>
      </c>
      <c r="AI20" s="195">
        <v>59.3</v>
      </c>
      <c r="AJ20" s="195">
        <v>69.8</v>
      </c>
      <c r="AK20" s="195">
        <v>47.9</v>
      </c>
      <c r="AL20" s="195">
        <v>63.7</v>
      </c>
      <c r="AM20" s="195">
        <v>53.8</v>
      </c>
      <c r="AN20" s="195">
        <v>33.299999999999997</v>
      </c>
      <c r="AO20" s="195">
        <v>62.8</v>
      </c>
      <c r="AP20" s="195">
        <v>56</v>
      </c>
      <c r="AQ20" s="195">
        <v>52.1</v>
      </c>
      <c r="AR20" s="195">
        <v>56</v>
      </c>
      <c r="AS20" s="207">
        <v>68.2</v>
      </c>
      <c r="AT20" s="656">
        <v>12032</v>
      </c>
      <c r="AU20" s="109">
        <v>57.8</v>
      </c>
    </row>
    <row r="21" spans="1:47" ht="13" x14ac:dyDescent="0.15">
      <c r="A21" s="451" t="s">
        <v>480</v>
      </c>
      <c r="B21" s="376" t="s">
        <v>21</v>
      </c>
      <c r="C21" s="415">
        <f t="shared" si="16"/>
        <v>59.962148148148152</v>
      </c>
      <c r="D21" s="143">
        <v>58.875</v>
      </c>
      <c r="E21" s="619">
        <v>60.63055555555556</v>
      </c>
      <c r="F21" s="794">
        <f>_xlfn.XLOOKUP(A21,Cost!A:A,Cost!N:N,0)</f>
        <v>5.6166999999999998</v>
      </c>
      <c r="G21" s="440">
        <v>67.400000000000006</v>
      </c>
      <c r="H21" s="293">
        <v>54.4</v>
      </c>
      <c r="I21" s="293">
        <v>68.900000000000006</v>
      </c>
      <c r="J21" s="508">
        <v>53.7</v>
      </c>
      <c r="K21" s="583">
        <v>56.2</v>
      </c>
      <c r="L21" s="493">
        <v>55.2</v>
      </c>
      <c r="M21" s="588">
        <v>81.400000000000006</v>
      </c>
      <c r="N21" s="493">
        <v>21</v>
      </c>
      <c r="O21" s="583">
        <v>80</v>
      </c>
      <c r="P21" s="584">
        <v>50.5</v>
      </c>
      <c r="Q21" s="493">
        <v>6.8</v>
      </c>
      <c r="R21" s="307">
        <v>17.3</v>
      </c>
      <c r="S21" s="564">
        <v>12</v>
      </c>
      <c r="T21" s="293">
        <v>31.25</v>
      </c>
      <c r="U21" s="293">
        <v>59.508333333333347</v>
      </c>
      <c r="V21" s="489">
        <v>59.758333333333347</v>
      </c>
      <c r="W21" s="493">
        <v>10.5</v>
      </c>
      <c r="X21" s="513">
        <v>45.3</v>
      </c>
      <c r="Y21" s="512">
        <v>42.4</v>
      </c>
      <c r="Z21" s="509">
        <v>64.099999999999994</v>
      </c>
      <c r="AA21" s="493">
        <f t="shared" si="6"/>
        <v>32.733333333333327</v>
      </c>
      <c r="AB21" s="295">
        <v>91.9</v>
      </c>
      <c r="AC21" s="411">
        <v>86.9</v>
      </c>
      <c r="AD21" s="435">
        <v>89.4</v>
      </c>
      <c r="AE21" s="636">
        <v>58.975999999999999</v>
      </c>
      <c r="AF21" s="641">
        <v>78</v>
      </c>
      <c r="AG21" s="195">
        <v>62</v>
      </c>
      <c r="AH21" s="195">
        <v>56.2</v>
      </c>
      <c r="AI21" s="195">
        <v>58.8</v>
      </c>
      <c r="AJ21" s="195">
        <v>71.3</v>
      </c>
      <c r="AK21" s="195">
        <v>53.6</v>
      </c>
      <c r="AL21" s="195">
        <v>65.3</v>
      </c>
      <c r="AM21" s="195">
        <v>54.3</v>
      </c>
      <c r="AN21" s="195">
        <v>34.700000000000003</v>
      </c>
      <c r="AO21" s="195">
        <v>64.400000000000006</v>
      </c>
      <c r="AP21" s="195">
        <v>55.8</v>
      </c>
      <c r="AQ21" s="195">
        <v>52.1</v>
      </c>
      <c r="AR21" s="195">
        <v>56.7</v>
      </c>
      <c r="AS21" s="207">
        <v>68.3</v>
      </c>
      <c r="AT21" s="656">
        <v>12032</v>
      </c>
      <c r="AU21" s="109">
        <v>59</v>
      </c>
    </row>
    <row r="22" spans="1:47" ht="13" x14ac:dyDescent="0.15">
      <c r="A22" s="451" t="s">
        <v>481</v>
      </c>
      <c r="B22" s="148" t="s">
        <v>21</v>
      </c>
      <c r="C22" s="415">
        <f t="shared" si="16"/>
        <v>59.35296296296297</v>
      </c>
      <c r="D22" s="143">
        <v>58.370000000000005</v>
      </c>
      <c r="E22" s="143">
        <v>60.322222222222223</v>
      </c>
      <c r="F22" s="794">
        <f>_xlfn.XLOOKUP(A22,Cost!A:A,Cost!N:N,0)</f>
        <v>5.8860999999999999</v>
      </c>
      <c r="G22" s="440">
        <v>66.3</v>
      </c>
      <c r="H22" s="293">
        <v>56.4</v>
      </c>
      <c r="I22" s="293">
        <v>68.3</v>
      </c>
      <c r="J22" s="508">
        <v>48</v>
      </c>
      <c r="K22" s="583">
        <v>51.4</v>
      </c>
      <c r="L22" s="493">
        <v>50</v>
      </c>
      <c r="M22" s="588">
        <v>79.400000000000006</v>
      </c>
      <c r="N22" s="493">
        <v>15</v>
      </c>
      <c r="O22" s="583">
        <v>79</v>
      </c>
      <c r="P22" s="584">
        <v>47</v>
      </c>
      <c r="Q22" s="493">
        <v>10.5</v>
      </c>
      <c r="R22" s="307">
        <v>28.6</v>
      </c>
      <c r="S22" s="564">
        <v>19.600000000000001</v>
      </c>
      <c r="T22" s="293">
        <v>33.299999999999997</v>
      </c>
      <c r="U22" s="293">
        <v>58.616666666666667</v>
      </c>
      <c r="V22" s="489">
        <v>58.949999999999996</v>
      </c>
      <c r="W22" s="493">
        <v>12</v>
      </c>
      <c r="X22" s="513">
        <v>45.5</v>
      </c>
      <c r="Y22" s="512">
        <v>42.9</v>
      </c>
      <c r="Z22" s="509">
        <v>64.7</v>
      </c>
      <c r="AA22" s="493">
        <f t="shared" si="6"/>
        <v>33.466666666666669</v>
      </c>
      <c r="AB22" s="295">
        <v>90.9</v>
      </c>
      <c r="AC22" s="511">
        <v>86.2</v>
      </c>
      <c r="AD22" s="435">
        <v>88.550000000000011</v>
      </c>
      <c r="AE22" s="636">
        <v>58.46</v>
      </c>
      <c r="AF22" s="641">
        <v>79.099999999999994</v>
      </c>
      <c r="AG22" s="195">
        <v>63.4</v>
      </c>
      <c r="AH22" s="195">
        <v>55.9</v>
      </c>
      <c r="AI22" s="195">
        <v>56.3</v>
      </c>
      <c r="AJ22" s="195">
        <v>70</v>
      </c>
      <c r="AK22" s="195">
        <v>50.4</v>
      </c>
      <c r="AL22" s="195">
        <v>62.8</v>
      </c>
      <c r="AM22" s="195">
        <v>55.6</v>
      </c>
      <c r="AN22" s="195">
        <v>34</v>
      </c>
      <c r="AO22" s="195">
        <v>63</v>
      </c>
      <c r="AP22" s="195">
        <v>55.4</v>
      </c>
      <c r="AQ22" s="195">
        <v>51.1</v>
      </c>
      <c r="AR22" s="195">
        <v>59.7</v>
      </c>
      <c r="AS22" s="207">
        <v>66.5</v>
      </c>
      <c r="AT22" s="656">
        <v>12032</v>
      </c>
      <c r="AU22" s="109">
        <v>58.5</v>
      </c>
    </row>
    <row r="23" spans="1:47" ht="13" x14ac:dyDescent="0.15">
      <c r="A23" s="456" t="s">
        <v>479</v>
      </c>
      <c r="B23" s="323" t="s">
        <v>21</v>
      </c>
      <c r="C23" s="415">
        <f t="shared" si="16"/>
        <v>59.457407407407409</v>
      </c>
      <c r="D23" s="143">
        <v>58.104999999999997</v>
      </c>
      <c r="E23" s="143">
        <v>59.469444444444456</v>
      </c>
      <c r="F23" s="794">
        <f>_xlfn.XLOOKUP(A23,Cost!A:A,Cost!N:N,0)</f>
        <v>5.6528</v>
      </c>
      <c r="G23" s="441">
        <v>61.1</v>
      </c>
      <c r="H23" s="429">
        <v>54.8</v>
      </c>
      <c r="I23" s="429">
        <v>67.3</v>
      </c>
      <c r="J23" s="559">
        <v>48.3</v>
      </c>
      <c r="K23" s="557">
        <v>52.2</v>
      </c>
      <c r="L23" s="430">
        <v>50.6</v>
      </c>
      <c r="M23" s="558">
        <v>84.2</v>
      </c>
      <c r="N23" s="559">
        <v>12</v>
      </c>
      <c r="O23" s="557">
        <v>79</v>
      </c>
      <c r="P23" s="560">
        <v>45.5</v>
      </c>
      <c r="Q23" s="430">
        <v>14.3</v>
      </c>
      <c r="R23" s="428">
        <v>54.1</v>
      </c>
      <c r="S23" s="598">
        <v>34.200000000000003</v>
      </c>
      <c r="T23" s="429">
        <v>39.85</v>
      </c>
      <c r="U23" s="429">
        <v>59.258333333333333</v>
      </c>
      <c r="V23" s="489">
        <v>59.641666666666673</v>
      </c>
      <c r="W23" s="430">
        <v>20.2</v>
      </c>
      <c r="X23" s="516">
        <v>51.6</v>
      </c>
      <c r="Y23" s="515">
        <v>46.9</v>
      </c>
      <c r="Z23" s="525">
        <v>67.2</v>
      </c>
      <c r="AA23" s="493">
        <f t="shared" si="6"/>
        <v>39.566666666666663</v>
      </c>
      <c r="AB23" s="415">
        <v>81.400000000000006</v>
      </c>
      <c r="AC23" s="482">
        <v>77</v>
      </c>
      <c r="AD23" s="482">
        <v>79.2</v>
      </c>
      <c r="AE23" s="637">
        <v>58.5</v>
      </c>
      <c r="AF23" s="641">
        <v>76</v>
      </c>
      <c r="AG23" s="195">
        <v>65</v>
      </c>
      <c r="AH23" s="195">
        <v>57.2</v>
      </c>
      <c r="AI23" s="195">
        <v>58.3</v>
      </c>
      <c r="AJ23" s="195">
        <v>69</v>
      </c>
      <c r="AK23" s="195">
        <v>48.7</v>
      </c>
      <c r="AL23" s="195">
        <v>63.8</v>
      </c>
      <c r="AM23" s="195">
        <v>51.4</v>
      </c>
      <c r="AN23" s="195">
        <v>33.200000000000003</v>
      </c>
      <c r="AO23" s="195">
        <v>64.599999999999994</v>
      </c>
      <c r="AP23" s="195">
        <v>57.3</v>
      </c>
      <c r="AQ23" s="195">
        <v>53.5</v>
      </c>
      <c r="AR23" s="195">
        <v>58.7</v>
      </c>
      <c r="AS23" s="207">
        <v>66</v>
      </c>
      <c r="AT23" s="656">
        <v>12032</v>
      </c>
      <c r="AU23" s="109">
        <v>58.5</v>
      </c>
    </row>
    <row r="24" spans="1:47" ht="14" thickBot="1" x14ac:dyDescent="0.2">
      <c r="A24" s="454" t="s">
        <v>478</v>
      </c>
      <c r="B24" s="403" t="s">
        <v>358</v>
      </c>
      <c r="C24" s="295">
        <f t="shared" si="16"/>
        <v>55.423333333333339</v>
      </c>
      <c r="D24" s="70">
        <f>AVERAGE(G24,H24,I24,J24,M24,T24,W24,Y24,AB24,AC24)</f>
        <v>54.927999999999997</v>
      </c>
      <c r="E24" s="70">
        <f>AVERAGE(AA24,V24,AD24)</f>
        <v>61.804444444444449</v>
      </c>
      <c r="F24" s="792">
        <f>_xlfn.XLOOKUP(A24,Cost!A:A,Cost!N:N,0)</f>
        <v>192.56110000000001</v>
      </c>
      <c r="G24" s="442">
        <v>78.7</v>
      </c>
      <c r="H24" s="404">
        <v>27.2</v>
      </c>
      <c r="I24" s="404">
        <v>61.1</v>
      </c>
      <c r="J24" s="518">
        <v>5.2</v>
      </c>
      <c r="K24" s="589">
        <v>5.4</v>
      </c>
      <c r="L24" s="437">
        <v>5.3</v>
      </c>
      <c r="M24" s="590">
        <v>81.180000000000007</v>
      </c>
      <c r="N24" s="437">
        <v>21</v>
      </c>
      <c r="O24" s="599">
        <v>94</v>
      </c>
      <c r="P24" s="591">
        <v>57.5</v>
      </c>
      <c r="Q24" s="437">
        <v>0.8</v>
      </c>
      <c r="R24" s="574">
        <v>2.2999999999999998</v>
      </c>
      <c r="S24" s="600">
        <v>1.5</v>
      </c>
      <c r="T24" s="404">
        <f t="shared" ref="T24" si="17">AVERAGE(P24,S24)</f>
        <v>29.5</v>
      </c>
      <c r="U24" s="404">
        <f t="shared" ref="U24" si="18">AVERAGE(G24,H24,I24,J24,M24,T24)</f>
        <v>47.146666666666668</v>
      </c>
      <c r="V24" s="496">
        <f t="shared" ref="V24" si="19">AVERAGE(T24,M24,L24,I24,H24,G24)</f>
        <v>47.163333333333334</v>
      </c>
      <c r="W24" s="437">
        <v>31.6</v>
      </c>
      <c r="X24" s="519">
        <v>58.2</v>
      </c>
      <c r="Y24" s="518">
        <v>54.5</v>
      </c>
      <c r="Z24" s="519">
        <v>70.8</v>
      </c>
      <c r="AA24" s="401">
        <f t="shared" si="6"/>
        <v>48.1</v>
      </c>
      <c r="AB24" s="404">
        <v>92.5</v>
      </c>
      <c r="AC24" s="442">
        <v>87.8</v>
      </c>
      <c r="AD24" s="437">
        <f>AVERAGE(AB24,AC24)</f>
        <v>90.15</v>
      </c>
      <c r="AE24" s="638">
        <v>77.58</v>
      </c>
      <c r="AF24" s="642">
        <v>88.3</v>
      </c>
      <c r="AG24" s="643">
        <v>82</v>
      </c>
      <c r="AH24" s="643">
        <v>82.8</v>
      </c>
      <c r="AI24" s="643">
        <v>83.7</v>
      </c>
      <c r="AJ24" s="643">
        <v>84.7</v>
      </c>
      <c r="AK24" s="643">
        <v>58.7</v>
      </c>
      <c r="AL24" s="643">
        <v>75.8</v>
      </c>
      <c r="AM24" s="643">
        <v>65.599999999999994</v>
      </c>
      <c r="AN24" s="643">
        <v>56.1</v>
      </c>
      <c r="AO24" s="643">
        <v>90.9</v>
      </c>
      <c r="AP24" s="643">
        <v>74.8</v>
      </c>
      <c r="AQ24" s="643">
        <v>71.900000000000006</v>
      </c>
      <c r="AR24" s="643">
        <v>84.4</v>
      </c>
      <c r="AS24" s="654">
        <v>78.7</v>
      </c>
      <c r="AT24" s="657">
        <v>12032</v>
      </c>
      <c r="AU24" s="253">
        <v>77.599999999999994</v>
      </c>
    </row>
    <row r="25" spans="1:47" ht="14" thickBot="1" x14ac:dyDescent="0.2">
      <c r="A25" s="455"/>
      <c r="B25" s="406"/>
      <c r="C25" s="447"/>
      <c r="D25" s="445"/>
      <c r="E25" s="436"/>
      <c r="F25" s="666"/>
      <c r="G25" s="437"/>
      <c r="H25" s="444"/>
      <c r="I25" s="437"/>
      <c r="J25" s="592"/>
      <c r="K25" s="520"/>
      <c r="L25" s="435"/>
      <c r="M25" s="437"/>
      <c r="N25" s="435"/>
      <c r="O25" s="520"/>
      <c r="P25" s="601"/>
      <c r="Q25" s="435"/>
      <c r="R25" s="602"/>
      <c r="S25" s="603"/>
      <c r="T25" s="435"/>
      <c r="U25" s="295"/>
      <c r="V25" s="444"/>
      <c r="W25" s="435"/>
      <c r="X25" s="520"/>
      <c r="Y25" s="520"/>
      <c r="Z25" s="407"/>
      <c r="AA25" s="435"/>
      <c r="AB25" s="526"/>
      <c r="AC25" s="521"/>
      <c r="AD25" s="522"/>
      <c r="AE25" s="435"/>
      <c r="AF25" s="395"/>
      <c r="AG25" s="395"/>
      <c r="AH25" s="395"/>
      <c r="AI25" s="395"/>
      <c r="AJ25" s="395"/>
      <c r="AK25" s="395"/>
      <c r="AL25" s="395"/>
      <c r="AM25" s="395"/>
      <c r="AN25" s="395"/>
      <c r="AO25" s="395"/>
      <c r="AP25" s="395"/>
      <c r="AQ25" s="395"/>
      <c r="AR25" s="395"/>
      <c r="AS25" s="395"/>
      <c r="AT25" s="659"/>
      <c r="AU25" s="395"/>
    </row>
    <row r="26" spans="1:47" ht="13" x14ac:dyDescent="0.15">
      <c r="A26" s="457" t="s">
        <v>458</v>
      </c>
      <c r="B26" s="261" t="s">
        <v>21</v>
      </c>
      <c r="C26" s="413">
        <f>AVERAGE(AE26,G26,H26,I26,L26,M26,T26,AA26,AD26)</f>
        <v>61.961111111111109</v>
      </c>
      <c r="D26" s="108">
        <f>AVERAGE(G26,H26,I26,J26,M26,T26,W26,Y26,AB26,AC26)</f>
        <v>60.8</v>
      </c>
      <c r="E26" s="108">
        <f>AVERAGE(AA26,V26,AD26)</f>
        <v>61.027777777777771</v>
      </c>
      <c r="F26" s="664">
        <f>_xlfn.XLOOKUP(A26,Cost!A:A,Cost!N:N,0)</f>
        <v>3.1417000000000002</v>
      </c>
      <c r="G26" s="507">
        <v>71.599999999999994</v>
      </c>
      <c r="H26" s="434">
        <v>62</v>
      </c>
      <c r="I26" s="434">
        <v>68.3</v>
      </c>
      <c r="J26" s="528">
        <v>59.1</v>
      </c>
      <c r="K26" s="604">
        <v>62.1</v>
      </c>
      <c r="L26" s="524">
        <v>60.8</v>
      </c>
      <c r="M26" s="605">
        <v>80.7</v>
      </c>
      <c r="N26" s="528">
        <v>12</v>
      </c>
      <c r="O26" s="604">
        <v>87</v>
      </c>
      <c r="P26" s="606">
        <v>49.5</v>
      </c>
      <c r="Q26" s="524">
        <v>15</v>
      </c>
      <c r="R26" s="604">
        <v>68.400000000000006</v>
      </c>
      <c r="S26" s="524">
        <v>41.7</v>
      </c>
      <c r="T26" s="434">
        <f>AVERAGE(P26,S26)</f>
        <v>45.6</v>
      </c>
      <c r="U26" s="434">
        <v>58.949999999999996</v>
      </c>
      <c r="V26" s="501">
        <v>65.483333333333334</v>
      </c>
      <c r="W26" s="524">
        <v>10.5</v>
      </c>
      <c r="X26" s="527">
        <v>44.5</v>
      </c>
      <c r="Y26" s="528">
        <v>35</v>
      </c>
      <c r="Z26" s="527">
        <v>60.2</v>
      </c>
      <c r="AA26" s="524">
        <f t="shared" si="6"/>
        <v>30</v>
      </c>
      <c r="AB26" s="434">
        <v>89.8</v>
      </c>
      <c r="AC26" s="507">
        <v>85.4</v>
      </c>
      <c r="AD26" s="507">
        <v>87.6</v>
      </c>
      <c r="AE26" s="652">
        <v>51.05</v>
      </c>
      <c r="AF26" s="647">
        <v>71.400000000000006</v>
      </c>
      <c r="AG26" s="648">
        <v>56.1</v>
      </c>
      <c r="AH26" s="648">
        <v>44.8</v>
      </c>
      <c r="AI26" s="648">
        <v>52.9</v>
      </c>
      <c r="AJ26" s="648">
        <v>62.3</v>
      </c>
      <c r="AK26" s="648">
        <v>40.6</v>
      </c>
      <c r="AL26" s="648">
        <v>53.7</v>
      </c>
      <c r="AM26" s="648">
        <v>47</v>
      </c>
      <c r="AN26" s="648">
        <v>28.9</v>
      </c>
      <c r="AO26" s="648">
        <v>57.2</v>
      </c>
      <c r="AP26" s="648">
        <v>53.2</v>
      </c>
      <c r="AQ26" s="648">
        <v>47.9</v>
      </c>
      <c r="AR26" s="648">
        <v>46.1</v>
      </c>
      <c r="AS26" s="653">
        <v>63.3</v>
      </c>
      <c r="AT26" s="655">
        <v>12032</v>
      </c>
      <c r="AU26" s="108">
        <v>51</v>
      </c>
    </row>
    <row r="27" spans="1:47" ht="13" x14ac:dyDescent="0.15">
      <c r="A27" s="458" t="s">
        <v>460</v>
      </c>
      <c r="B27" s="61" t="s">
        <v>21</v>
      </c>
      <c r="C27" s="415">
        <f>AVERAGE(AE27,G27,H27,I27,L27,M27,T27,AA27,AD27)</f>
        <v>59.811111111111117</v>
      </c>
      <c r="D27" s="143">
        <f>AVERAGE(G27,H27,I27,J27,M27,T27,W27,Y27,AB27,AC27)</f>
        <v>59.629999999999995</v>
      </c>
      <c r="E27" s="619">
        <f>AVERAGE(AA27,V27,AD27)</f>
        <v>62.300000000000004</v>
      </c>
      <c r="F27" s="794">
        <f>_xlfn.XLOOKUP(A27,Cost!A:A,Cost!N:N,0)</f>
        <v>2.2471999999999999</v>
      </c>
      <c r="G27" s="440">
        <v>70.400000000000006</v>
      </c>
      <c r="H27" s="293">
        <v>61</v>
      </c>
      <c r="I27" s="293">
        <v>66.900000000000006</v>
      </c>
      <c r="J27" s="508">
        <v>56.4</v>
      </c>
      <c r="K27" s="583">
        <v>59.2</v>
      </c>
      <c r="L27" s="493">
        <v>58</v>
      </c>
      <c r="M27" s="588">
        <v>83.1</v>
      </c>
      <c r="N27" s="508">
        <v>14</v>
      </c>
      <c r="O27" s="583">
        <v>86</v>
      </c>
      <c r="P27" s="584">
        <v>50</v>
      </c>
      <c r="Q27" s="493">
        <v>2.2999999999999998</v>
      </c>
      <c r="R27" s="583">
        <v>4.5</v>
      </c>
      <c r="S27" s="493">
        <v>3.4</v>
      </c>
      <c r="T27" s="429">
        <f>AVERAGE(P27,S27)</f>
        <v>26.7</v>
      </c>
      <c r="U27" s="429">
        <v>58.633333333333333</v>
      </c>
      <c r="V27" s="489">
        <v>64.899999999999991</v>
      </c>
      <c r="W27" s="493">
        <v>23.5</v>
      </c>
      <c r="X27" s="509">
        <v>47.8</v>
      </c>
      <c r="Y27" s="508">
        <v>35.5</v>
      </c>
      <c r="Z27" s="509">
        <v>59.4</v>
      </c>
      <c r="AA27" s="529">
        <f t="shared" ref="AA27" si="20">AVERAGE(W27:Y27)</f>
        <v>35.6</v>
      </c>
      <c r="AB27" s="429">
        <v>88.8</v>
      </c>
      <c r="AC27" s="441">
        <v>84</v>
      </c>
      <c r="AD27" s="441">
        <v>86.4</v>
      </c>
      <c r="AE27" s="187">
        <v>50.2</v>
      </c>
      <c r="AF27" s="641">
        <v>70.3</v>
      </c>
      <c r="AG27" s="195">
        <v>55.6</v>
      </c>
      <c r="AH27" s="195">
        <v>43.1</v>
      </c>
      <c r="AI27" s="195">
        <v>56.8</v>
      </c>
      <c r="AJ27" s="195">
        <v>63</v>
      </c>
      <c r="AK27" s="195">
        <v>36.200000000000003</v>
      </c>
      <c r="AL27" s="195">
        <v>55.5</v>
      </c>
      <c r="AM27" s="195">
        <v>47.5</v>
      </c>
      <c r="AN27" s="195">
        <v>27.3</v>
      </c>
      <c r="AO27" s="195">
        <v>54.9</v>
      </c>
      <c r="AP27" s="195">
        <v>51.7</v>
      </c>
      <c r="AQ27" s="195">
        <v>47.9</v>
      </c>
      <c r="AR27" s="195">
        <v>43.8</v>
      </c>
      <c r="AS27" s="207">
        <v>65.900000000000006</v>
      </c>
      <c r="AT27" s="656">
        <v>12032</v>
      </c>
      <c r="AU27" s="109">
        <v>50.2</v>
      </c>
    </row>
    <row r="28" spans="1:47" ht="13" x14ac:dyDescent="0.15">
      <c r="A28" s="459" t="s">
        <v>457</v>
      </c>
      <c r="B28" s="234" t="s">
        <v>21</v>
      </c>
      <c r="C28" s="415">
        <f>AVERAGE(AE28,G28,H28,I28,L28,M28,T28,AA28,AD28)</f>
        <v>59.991851851851862</v>
      </c>
      <c r="D28" s="143">
        <f>AVERAGE(G28,H28,I28,J28,M28,T28,W28,Y28,AB28,AC28)</f>
        <v>59.1</v>
      </c>
      <c r="E28" s="143">
        <f>AVERAGE(AA28,V28,AD28)</f>
        <v>60.800000000000011</v>
      </c>
      <c r="F28" s="794">
        <f>_xlfn.XLOOKUP(A28,Cost!A:A,Cost!N:N,0)</f>
        <v>3.0249999999999999</v>
      </c>
      <c r="G28" s="633">
        <v>69.099999999999994</v>
      </c>
      <c r="H28" s="476">
        <v>60.8</v>
      </c>
      <c r="I28" s="476">
        <v>68.2</v>
      </c>
      <c r="J28" s="515">
        <v>59.2</v>
      </c>
      <c r="K28" s="607">
        <v>62.5</v>
      </c>
      <c r="L28" s="430">
        <v>61.1</v>
      </c>
      <c r="M28" s="608">
        <v>82.5</v>
      </c>
      <c r="N28" s="515">
        <v>13</v>
      </c>
      <c r="O28" s="607">
        <v>69</v>
      </c>
      <c r="P28" s="609">
        <v>41</v>
      </c>
      <c r="Q28" s="430">
        <v>5.3</v>
      </c>
      <c r="R28" s="557">
        <v>27.1</v>
      </c>
      <c r="S28" s="430">
        <v>16.2</v>
      </c>
      <c r="T28" s="429">
        <f>AVERAGE(P28,S28)</f>
        <v>28.6</v>
      </c>
      <c r="U28" s="429">
        <v>58.79999999999999</v>
      </c>
      <c r="V28" s="487">
        <v>63.783333333333339</v>
      </c>
      <c r="W28" s="430">
        <v>9.6</v>
      </c>
      <c r="X28" s="516">
        <v>44.7</v>
      </c>
      <c r="Y28" s="515">
        <v>35.9</v>
      </c>
      <c r="Z28" s="516">
        <v>60.7</v>
      </c>
      <c r="AA28" s="493">
        <f t="shared" si="6"/>
        <v>30.066666666666666</v>
      </c>
      <c r="AB28" s="415">
        <v>90.9</v>
      </c>
      <c r="AC28" s="482">
        <v>86.2</v>
      </c>
      <c r="AD28" s="482">
        <v>88.550000000000011</v>
      </c>
      <c r="AE28" s="650">
        <v>51.01</v>
      </c>
      <c r="AF28" s="641">
        <v>72</v>
      </c>
      <c r="AG28" s="195">
        <v>54.1</v>
      </c>
      <c r="AH28" s="195">
        <v>43</v>
      </c>
      <c r="AI28" s="195">
        <v>56.6</v>
      </c>
      <c r="AJ28" s="195">
        <v>64.099999999999994</v>
      </c>
      <c r="AK28" s="195">
        <v>40.200000000000003</v>
      </c>
      <c r="AL28" s="195">
        <v>54.2</v>
      </c>
      <c r="AM28" s="195">
        <v>46.2</v>
      </c>
      <c r="AN28" s="195">
        <v>27.5</v>
      </c>
      <c r="AO28" s="195">
        <v>56.9</v>
      </c>
      <c r="AP28" s="195">
        <v>53.6</v>
      </c>
      <c r="AQ28" s="195">
        <v>48.5</v>
      </c>
      <c r="AR28" s="195">
        <v>46.6</v>
      </c>
      <c r="AS28" s="207">
        <v>64</v>
      </c>
      <c r="AT28" s="656">
        <v>12032</v>
      </c>
      <c r="AU28" s="109">
        <v>51</v>
      </c>
    </row>
    <row r="29" spans="1:47" ht="13" x14ac:dyDescent="0.15">
      <c r="A29" s="460" t="s">
        <v>459</v>
      </c>
      <c r="B29" s="61" t="s">
        <v>21</v>
      </c>
      <c r="C29" s="415">
        <f>AVERAGE(AE29,G29,H29,I29,L29,M29,T29,AA29,AD29)</f>
        <v>60.164814814814818</v>
      </c>
      <c r="D29" s="143">
        <f>AVERAGE(G29,H29,I29,J29,M29,T29,W29,Y29,AB29,AC29)</f>
        <v>59.735000000000014</v>
      </c>
      <c r="E29" s="619">
        <f>AVERAGE(AA29,V29,AD29)</f>
        <v>60.255555555555553</v>
      </c>
      <c r="F29" s="794">
        <f>_xlfn.XLOOKUP(A29,Cost!A:A,Cost!N:N,0)</f>
        <v>0</v>
      </c>
      <c r="G29" s="162">
        <v>70.599999999999994</v>
      </c>
      <c r="H29" s="127">
        <v>58.2</v>
      </c>
      <c r="I29" s="162">
        <v>67.3</v>
      </c>
      <c r="J29" s="124">
        <v>58.8</v>
      </c>
      <c r="K29" s="40">
        <v>60.8</v>
      </c>
      <c r="L29" s="61">
        <v>60</v>
      </c>
      <c r="M29" s="168">
        <v>72.900000000000006</v>
      </c>
      <c r="N29" s="37">
        <v>16</v>
      </c>
      <c r="O29" s="38">
        <v>81</v>
      </c>
      <c r="P29" s="117">
        <v>48.5</v>
      </c>
      <c r="Q29" s="61">
        <v>15</v>
      </c>
      <c r="R29" s="35">
        <v>78.2</v>
      </c>
      <c r="S29" s="61">
        <v>46.6</v>
      </c>
      <c r="T29" s="429">
        <f>AVERAGE(P29,S29)</f>
        <v>47.55</v>
      </c>
      <c r="U29" s="429">
        <v>58.79999999999999</v>
      </c>
      <c r="V29" s="487">
        <v>63.783333333333339</v>
      </c>
      <c r="W29" s="508">
        <v>20.9</v>
      </c>
      <c r="X29" s="670">
        <v>44.1</v>
      </c>
      <c r="Y29" s="508">
        <v>31.4</v>
      </c>
      <c r="Z29" s="671">
        <v>55.9</v>
      </c>
      <c r="AA29" s="493">
        <f t="shared" si="6"/>
        <v>32.133333333333333</v>
      </c>
      <c r="AB29" s="672">
        <v>87.5</v>
      </c>
      <c r="AC29" s="673">
        <v>82.2</v>
      </c>
      <c r="AD29" s="488">
        <f>AVERAGE(AB29,AC29)</f>
        <v>84.85</v>
      </c>
      <c r="AE29" s="187">
        <v>47.95</v>
      </c>
      <c r="AF29" s="641">
        <v>73.22</v>
      </c>
      <c r="AG29" s="195">
        <v>48.04</v>
      </c>
      <c r="AH29" s="195">
        <v>36.57</v>
      </c>
      <c r="AI29" s="195">
        <v>53.17</v>
      </c>
      <c r="AJ29" s="195">
        <v>62.91</v>
      </c>
      <c r="AK29" s="195">
        <v>33.020000000000003</v>
      </c>
      <c r="AL29" s="195">
        <v>55.75</v>
      </c>
      <c r="AM29" s="195">
        <v>48.03</v>
      </c>
      <c r="AN29" s="195">
        <v>32.79</v>
      </c>
      <c r="AO29" s="195">
        <v>50.41</v>
      </c>
      <c r="AP29" s="195">
        <v>48.38</v>
      </c>
      <c r="AQ29" s="195">
        <v>47.9</v>
      </c>
      <c r="AR29" s="195">
        <v>39.72</v>
      </c>
      <c r="AS29" s="207">
        <v>62.53</v>
      </c>
      <c r="AT29" s="656">
        <v>12032</v>
      </c>
      <c r="AU29" s="109">
        <v>47.95</v>
      </c>
    </row>
    <row r="30" spans="1:47" ht="14" thickBot="1" x14ac:dyDescent="0.2">
      <c r="A30" s="461" t="s">
        <v>361</v>
      </c>
      <c r="B30" s="405" t="s">
        <v>358</v>
      </c>
      <c r="C30" s="295">
        <f>AVERAGE(AE30,G30,H30,I30,L30,M30,T30,AA30,AD30)</f>
        <v>45.311851851851856</v>
      </c>
      <c r="D30" s="70">
        <f>AVERAGE(G30,H30,I30,J30,M30,T30,W30,Y30,AB30,AC30)</f>
        <v>46.149000000000001</v>
      </c>
      <c r="E30" s="70">
        <f>AVERAGE(AA30,V30,AD30)</f>
        <v>56.533333333333331</v>
      </c>
      <c r="F30" s="792">
        <f>_xlfn.XLOOKUP(A30,Cost!A:A,Cost!N:N,0)</f>
        <v>6.0805999999999996</v>
      </c>
      <c r="G30" s="442">
        <v>36.799999999999997</v>
      </c>
      <c r="H30" s="404">
        <v>16</v>
      </c>
      <c r="I30" s="404">
        <v>57.1</v>
      </c>
      <c r="J30" s="518">
        <v>6.2</v>
      </c>
      <c r="K30" s="574">
        <v>6.2</v>
      </c>
      <c r="L30" s="600">
        <v>6.2</v>
      </c>
      <c r="M30" s="590">
        <v>71.8</v>
      </c>
      <c r="N30" s="518">
        <v>16</v>
      </c>
      <c r="O30" s="589">
        <v>88</v>
      </c>
      <c r="P30" s="591">
        <v>52</v>
      </c>
      <c r="Q30" s="610">
        <v>0</v>
      </c>
      <c r="R30" s="611">
        <v>0.75</v>
      </c>
      <c r="S30" s="611">
        <v>0.38</v>
      </c>
      <c r="T30" s="499">
        <f>AVERAGE(P30,S30)</f>
        <v>26.19</v>
      </c>
      <c r="U30" s="404">
        <v>33.983333333333334</v>
      </c>
      <c r="V30" s="496">
        <v>39.983333333333327</v>
      </c>
      <c r="W30" s="518">
        <v>23.3</v>
      </c>
      <c r="X30" s="519">
        <v>53</v>
      </c>
      <c r="Y30" s="518">
        <v>47.2</v>
      </c>
      <c r="Z30" s="442">
        <v>68.5</v>
      </c>
      <c r="AA30" s="401">
        <f t="shared" si="6"/>
        <v>41.166666666666664</v>
      </c>
      <c r="AB30" s="404">
        <v>91</v>
      </c>
      <c r="AC30" s="442">
        <v>85.9</v>
      </c>
      <c r="AD30" s="442">
        <v>88.45</v>
      </c>
      <c r="AE30" s="445">
        <v>64.099999999999994</v>
      </c>
      <c r="AF30" s="642">
        <v>80.3</v>
      </c>
      <c r="AG30" s="643">
        <v>71.400000000000006</v>
      </c>
      <c r="AH30" s="643">
        <v>64.099999999999994</v>
      </c>
      <c r="AI30" s="643">
        <v>68</v>
      </c>
      <c r="AJ30" s="643">
        <v>74.900000000000006</v>
      </c>
      <c r="AK30" s="643">
        <v>45.2</v>
      </c>
      <c r="AL30" s="643">
        <v>64.3</v>
      </c>
      <c r="AM30" s="643">
        <v>57</v>
      </c>
      <c r="AN30" s="643">
        <v>39.1</v>
      </c>
      <c r="AO30" s="643">
        <v>75.5</v>
      </c>
      <c r="AP30" s="643">
        <v>63</v>
      </c>
      <c r="AQ30" s="643">
        <v>55.1</v>
      </c>
      <c r="AR30" s="643">
        <v>67.5</v>
      </c>
      <c r="AS30" s="654">
        <v>71.900000000000006</v>
      </c>
      <c r="AT30" s="657">
        <v>12032</v>
      </c>
      <c r="AU30" s="253">
        <v>64.099999999999994</v>
      </c>
    </row>
    <row r="31" spans="1:47" ht="15.75" customHeight="1" thickBot="1" x14ac:dyDescent="0.2">
      <c r="A31" s="462"/>
      <c r="C31" s="354"/>
      <c r="D31" s="620"/>
      <c r="E31" s="462"/>
      <c r="F31" s="667"/>
      <c r="G31" s="462"/>
      <c r="H31" s="462"/>
      <c r="I31" s="462"/>
      <c r="J31" s="462"/>
      <c r="K31" s="462"/>
      <c r="L31" s="462"/>
      <c r="M31" s="462"/>
      <c r="N31" s="531"/>
      <c r="O31" s="531"/>
      <c r="P31" s="531"/>
      <c r="Q31" s="531"/>
      <c r="R31" s="531"/>
      <c r="S31" s="531"/>
      <c r="T31" s="531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395"/>
      <c r="AG31" s="395"/>
      <c r="AH31" s="395"/>
      <c r="AI31" s="395"/>
      <c r="AJ31" s="395"/>
      <c r="AK31" s="395"/>
      <c r="AL31" s="395"/>
      <c r="AM31" s="395"/>
      <c r="AN31" s="395"/>
      <c r="AO31" s="395"/>
      <c r="AP31" s="395"/>
      <c r="AQ31" s="395"/>
      <c r="AR31" s="395"/>
      <c r="AS31" s="395"/>
      <c r="AT31" s="659"/>
      <c r="AU31" s="395"/>
    </row>
    <row r="32" spans="1:47" ht="13" x14ac:dyDescent="0.15">
      <c r="A32" s="463" t="s">
        <v>461</v>
      </c>
      <c r="B32" s="438" t="s">
        <v>21</v>
      </c>
      <c r="C32" s="413">
        <f>AVERAGE(AE32,G32,H32,I32,L32,M32,T32,AA32,AD32)</f>
        <v>52.682222222222229</v>
      </c>
      <c r="D32" s="108">
        <f>AVERAGE(G32,H32,I32,J32,M32,T32,W32,Y32,AB32,AC32)</f>
        <v>51.29</v>
      </c>
      <c r="E32" s="108">
        <f>AVERAGE(AA32,V32,AD32)</f>
        <v>50.4</v>
      </c>
      <c r="F32" s="793">
        <f>_xlfn.XLOOKUP(A32,Cost!A:A,Cost!N:N,0)</f>
        <v>1.4582999999999999</v>
      </c>
      <c r="G32" s="507">
        <v>64.900000000000006</v>
      </c>
      <c r="H32" s="434">
        <v>62.2</v>
      </c>
      <c r="I32" s="434">
        <v>65.599999999999994</v>
      </c>
      <c r="J32" s="528">
        <v>60</v>
      </c>
      <c r="K32" s="604">
        <v>62.2</v>
      </c>
      <c r="L32" s="524">
        <v>61.3</v>
      </c>
      <c r="M32" s="605">
        <v>82.1</v>
      </c>
      <c r="N32" s="528">
        <v>4</v>
      </c>
      <c r="O32" s="604">
        <v>21</v>
      </c>
      <c r="P32" s="606">
        <v>12.5</v>
      </c>
      <c r="Q32" s="524">
        <v>6.8</v>
      </c>
      <c r="R32" s="604">
        <v>29.3</v>
      </c>
      <c r="S32" s="524">
        <v>18.100000000000001</v>
      </c>
      <c r="T32" s="434">
        <f>AVERAGE(P32,S32)</f>
        <v>15.3</v>
      </c>
      <c r="U32" s="434">
        <v>56.466666666666661</v>
      </c>
      <c r="V32" s="501">
        <v>58.1</v>
      </c>
      <c r="W32" s="532">
        <v>4.5999999999999996</v>
      </c>
      <c r="X32" s="527">
        <v>39.700000000000003</v>
      </c>
      <c r="Y32" s="528">
        <v>4.5999999999999996</v>
      </c>
      <c r="Z32" s="527">
        <v>38.6</v>
      </c>
      <c r="AA32" s="524">
        <f t="shared" si="6"/>
        <v>16.3</v>
      </c>
      <c r="AB32" s="434">
        <v>78.3</v>
      </c>
      <c r="AC32" s="507">
        <v>75.3</v>
      </c>
      <c r="AD32" s="507">
        <v>76.8</v>
      </c>
      <c r="AE32" s="652">
        <v>29.64</v>
      </c>
      <c r="AF32" s="647">
        <v>54.3</v>
      </c>
      <c r="AG32" s="648">
        <v>30.4</v>
      </c>
      <c r="AH32" s="648">
        <v>18.600000000000001</v>
      </c>
      <c r="AI32" s="648">
        <v>27.6</v>
      </c>
      <c r="AJ32" s="648">
        <v>37.299999999999997</v>
      </c>
      <c r="AK32" s="648">
        <v>15.7</v>
      </c>
      <c r="AL32" s="648">
        <v>37.299999999999997</v>
      </c>
      <c r="AM32" s="648">
        <v>32.799999999999997</v>
      </c>
      <c r="AN32" s="648">
        <v>18.3</v>
      </c>
      <c r="AO32" s="648">
        <v>28.3</v>
      </c>
      <c r="AP32" s="648">
        <v>32.6</v>
      </c>
      <c r="AQ32" s="648">
        <v>32.299999999999997</v>
      </c>
      <c r="AR32" s="648">
        <v>24.5</v>
      </c>
      <c r="AS32" s="653">
        <v>44.1</v>
      </c>
      <c r="AT32" s="655">
        <v>12032</v>
      </c>
      <c r="AU32" s="108">
        <v>29.6</v>
      </c>
    </row>
    <row r="33" spans="1:47" ht="13" x14ac:dyDescent="0.15">
      <c r="A33" s="464" t="s">
        <v>464</v>
      </c>
      <c r="B33" s="376" t="s">
        <v>21</v>
      </c>
      <c r="C33" s="415">
        <f>AVERAGE(AE33,G33,H33,I33,L33,M33,T33,AA33,AD33)</f>
        <v>51.910370370370373</v>
      </c>
      <c r="D33" s="143">
        <f>AVERAGE(G33,H33,I33,J33,M33,T33,W33,Y33,AB33,AC33)</f>
        <v>50.755000000000003</v>
      </c>
      <c r="E33" s="619">
        <f>AVERAGE(AA33,V33,AD33)</f>
        <v>50.45000000000001</v>
      </c>
      <c r="F33" s="794">
        <f>_xlfn.XLOOKUP(A33,Cost!A:A,Cost!N:N,0)</f>
        <v>0.81389999999999996</v>
      </c>
      <c r="G33" s="440">
        <v>59.3</v>
      </c>
      <c r="H33" s="293">
        <v>60.4</v>
      </c>
      <c r="I33" s="293">
        <v>67.7</v>
      </c>
      <c r="J33" s="493">
        <v>57.9</v>
      </c>
      <c r="K33" s="583">
        <v>60</v>
      </c>
      <c r="L33" s="493">
        <v>59.1</v>
      </c>
      <c r="M33" s="588">
        <v>75.3</v>
      </c>
      <c r="N33" s="493">
        <v>7</v>
      </c>
      <c r="O33" s="583">
        <v>69</v>
      </c>
      <c r="P33" s="493">
        <v>38</v>
      </c>
      <c r="Q33" s="529">
        <v>8.3000000000000007</v>
      </c>
      <c r="R33" s="583">
        <v>21.1</v>
      </c>
      <c r="S33" s="493">
        <v>14.7</v>
      </c>
      <c r="T33" s="293">
        <f>AVERAGE(P33,S33)</f>
        <v>26.35</v>
      </c>
      <c r="U33" s="293">
        <v>54.599999999999994</v>
      </c>
      <c r="V33" s="489">
        <v>59.966666666666669</v>
      </c>
      <c r="W33" s="493">
        <v>11</v>
      </c>
      <c r="X33" s="509">
        <v>41.9</v>
      </c>
      <c r="Y33" s="508">
        <v>6.3</v>
      </c>
      <c r="Z33" s="509">
        <v>40.200000000000003</v>
      </c>
      <c r="AA33" s="529">
        <f>AVERAGE(W33:Y33)</f>
        <v>19.733333333333331</v>
      </c>
      <c r="AB33" s="293">
        <v>72.5</v>
      </c>
      <c r="AC33" s="441">
        <v>70.8</v>
      </c>
      <c r="AD33" s="493">
        <v>71.650000000000006</v>
      </c>
      <c r="AE33" s="109">
        <v>27.66</v>
      </c>
      <c r="AF33" s="641">
        <v>46.2</v>
      </c>
      <c r="AG33" s="195">
        <v>24.6</v>
      </c>
      <c r="AH33" s="195">
        <v>20.100000000000001</v>
      </c>
      <c r="AI33" s="195">
        <v>29.3</v>
      </c>
      <c r="AJ33" s="195">
        <v>34.1</v>
      </c>
      <c r="AK33" s="195">
        <v>19.2</v>
      </c>
      <c r="AL33" s="195">
        <v>36.6</v>
      </c>
      <c r="AM33" s="195">
        <v>26</v>
      </c>
      <c r="AN33" s="195">
        <v>19.8</v>
      </c>
      <c r="AO33" s="195">
        <v>23</v>
      </c>
      <c r="AP33" s="195">
        <v>28.7</v>
      </c>
      <c r="AQ33" s="195">
        <v>28.3</v>
      </c>
      <c r="AR33" s="195">
        <v>24.4</v>
      </c>
      <c r="AS33" s="207">
        <v>41.6</v>
      </c>
      <c r="AT33" s="656">
        <v>12032</v>
      </c>
      <c r="AU33" s="109">
        <v>27.7</v>
      </c>
    </row>
    <row r="34" spans="1:47" ht="13" x14ac:dyDescent="0.15">
      <c r="A34" s="465" t="s">
        <v>462</v>
      </c>
      <c r="B34" s="322" t="s">
        <v>21</v>
      </c>
      <c r="C34" s="415">
        <f>AVERAGE(AE34,G34,H34,I34,L34,M34,T34,AA34,AD34)</f>
        <v>51.588888888888889</v>
      </c>
      <c r="D34" s="143">
        <f>AVERAGE(G34,H34,I34,J34,M34,T34,W34,Y34,AB34,AC34)</f>
        <v>50.545000000000002</v>
      </c>
      <c r="E34" s="619">
        <f>AVERAGE(AA34,V34,AD34)</f>
        <v>49.588888888888881</v>
      </c>
      <c r="F34" s="794">
        <f>_xlfn.XLOOKUP(A34,Cost!A:A,Cost!N:N,0)</f>
        <v>2.5777999999999999</v>
      </c>
      <c r="G34" s="440">
        <v>62.8</v>
      </c>
      <c r="H34" s="293">
        <v>55.6</v>
      </c>
      <c r="I34" s="293">
        <v>63.1</v>
      </c>
      <c r="J34" s="508">
        <v>56.2</v>
      </c>
      <c r="K34" s="583">
        <v>58.1</v>
      </c>
      <c r="L34" s="493">
        <v>57.3</v>
      </c>
      <c r="M34" s="588">
        <v>67.7</v>
      </c>
      <c r="N34" s="508">
        <v>6</v>
      </c>
      <c r="O34" s="583">
        <v>75</v>
      </c>
      <c r="P34" s="584">
        <v>45.5</v>
      </c>
      <c r="Q34" s="493">
        <v>15.8</v>
      </c>
      <c r="R34" s="583">
        <v>70.7</v>
      </c>
      <c r="S34" s="493">
        <v>43.2</v>
      </c>
      <c r="T34" s="293">
        <f>AVERAGE(P34,S34)</f>
        <v>44.35</v>
      </c>
      <c r="U34" s="293">
        <v>51.9</v>
      </c>
      <c r="V34" s="533">
        <v>58.666666666666664</v>
      </c>
      <c r="W34" s="493">
        <v>4.0999999999999996</v>
      </c>
      <c r="X34" s="509">
        <v>40.1</v>
      </c>
      <c r="Y34" s="508">
        <v>2.6</v>
      </c>
      <c r="Z34" s="440">
        <v>37.799999999999997</v>
      </c>
      <c r="AA34" s="493">
        <f t="shared" si="6"/>
        <v>15.600000000000001</v>
      </c>
      <c r="AB34" s="293">
        <v>75.5</v>
      </c>
      <c r="AC34" s="440">
        <v>73.5</v>
      </c>
      <c r="AD34" s="440">
        <v>74.5</v>
      </c>
      <c r="AE34" s="109">
        <v>23.35</v>
      </c>
      <c r="AF34" s="641">
        <v>44.35</v>
      </c>
      <c r="AG34" s="195">
        <v>23.19</v>
      </c>
      <c r="AH34" s="195">
        <v>13.96</v>
      </c>
      <c r="AI34" s="195">
        <v>18.54</v>
      </c>
      <c r="AJ34" s="195">
        <v>33.53</v>
      </c>
      <c r="AK34" s="195">
        <v>16.2</v>
      </c>
      <c r="AL34" s="195">
        <v>33.130000000000003</v>
      </c>
      <c r="AM34" s="195">
        <v>24.15</v>
      </c>
      <c r="AN34" s="195">
        <v>16.62</v>
      </c>
      <c r="AO34" s="195">
        <v>15.32</v>
      </c>
      <c r="AP34" s="195">
        <v>24.35</v>
      </c>
      <c r="AQ34" s="195">
        <v>23.85</v>
      </c>
      <c r="AR34" s="195">
        <v>17.55</v>
      </c>
      <c r="AS34" s="207">
        <v>38.72</v>
      </c>
      <c r="AT34" s="656">
        <v>12032</v>
      </c>
      <c r="AU34" s="109">
        <v>23.35</v>
      </c>
    </row>
    <row r="35" spans="1:47" ht="13" x14ac:dyDescent="0.15">
      <c r="A35" s="456" t="s">
        <v>463</v>
      </c>
      <c r="B35" s="416" t="s">
        <v>21</v>
      </c>
      <c r="C35" s="415">
        <f>AVERAGE(AE35,G35,H35,I35,L35,M35,T35,AA35,AD35)</f>
        <v>46.678148148148153</v>
      </c>
      <c r="D35" s="143">
        <f>AVERAGE(G35,H35,I35,J35,M35,T35,W35,Y35,AB35,AC35)</f>
        <v>46.985000000000014</v>
      </c>
      <c r="E35" s="143">
        <f>AVERAGE(AA35,V35,AD35)</f>
        <v>46.800000000000004</v>
      </c>
      <c r="F35" s="794">
        <f>_xlfn.XLOOKUP(A35,Cost!A:A,Cost!N:N,0)</f>
        <v>0.79169999999999996</v>
      </c>
      <c r="G35" s="417">
        <v>64.400000000000006</v>
      </c>
      <c r="H35" s="418">
        <v>49.8</v>
      </c>
      <c r="I35" s="418">
        <v>65.099999999999994</v>
      </c>
      <c r="J35" s="419">
        <v>34.4</v>
      </c>
      <c r="K35" s="420">
        <v>35.799999999999997</v>
      </c>
      <c r="L35" s="421">
        <v>35.200000000000003</v>
      </c>
      <c r="M35" s="422">
        <v>71</v>
      </c>
      <c r="N35" s="423">
        <v>2</v>
      </c>
      <c r="O35" s="424">
        <v>26</v>
      </c>
      <c r="P35" s="423">
        <v>14</v>
      </c>
      <c r="Q35" s="216">
        <v>5.3</v>
      </c>
      <c r="R35" s="424">
        <v>54.1</v>
      </c>
      <c r="S35" s="423">
        <v>29.7</v>
      </c>
      <c r="T35" s="429">
        <f>AVERAGE(P35,S35)</f>
        <v>21.85</v>
      </c>
      <c r="U35" s="418">
        <v>47.783333333333339</v>
      </c>
      <c r="V35" s="425">
        <v>49.916666666666664</v>
      </c>
      <c r="W35" s="426">
        <v>14.6</v>
      </c>
      <c r="X35" s="432">
        <v>40.700000000000003</v>
      </c>
      <c r="Y35" s="427">
        <v>13.8</v>
      </c>
      <c r="Z35" s="431">
        <v>45.3</v>
      </c>
      <c r="AA35" s="493">
        <f t="shared" si="6"/>
        <v>23.033333333333335</v>
      </c>
      <c r="AB35" s="433">
        <v>68.900000000000006</v>
      </c>
      <c r="AC35" s="218">
        <v>66</v>
      </c>
      <c r="AD35" s="423">
        <v>67.45</v>
      </c>
      <c r="AE35" s="109">
        <v>22.27</v>
      </c>
      <c r="AF35" s="641">
        <v>44.8</v>
      </c>
      <c r="AG35" s="195">
        <v>15.8</v>
      </c>
      <c r="AH35" s="195">
        <v>14.6</v>
      </c>
      <c r="AI35" s="195">
        <v>23.4</v>
      </c>
      <c r="AJ35" s="195">
        <v>31.8</v>
      </c>
      <c r="AK35" s="195">
        <v>19</v>
      </c>
      <c r="AL35" s="195">
        <v>26.5</v>
      </c>
      <c r="AM35" s="195">
        <v>22.6</v>
      </c>
      <c r="AN35" s="195">
        <v>18.399999999999999</v>
      </c>
      <c r="AO35" s="195">
        <v>14.7</v>
      </c>
      <c r="AP35" s="195">
        <v>21.6</v>
      </c>
      <c r="AQ35" s="195">
        <v>21.2</v>
      </c>
      <c r="AR35" s="195">
        <v>15.2</v>
      </c>
      <c r="AS35" s="207">
        <v>39.1</v>
      </c>
      <c r="AT35" s="656">
        <v>12032</v>
      </c>
      <c r="AU35" s="109">
        <v>22.3</v>
      </c>
    </row>
    <row r="36" spans="1:47" ht="14" thickBot="1" x14ac:dyDescent="0.2">
      <c r="A36" s="466" t="s">
        <v>362</v>
      </c>
      <c r="B36" s="402" t="s">
        <v>358</v>
      </c>
      <c r="C36" s="295">
        <f>AVERAGE(AE36,G36,H36,I36,L36,M36,T36,AA36,AD36)</f>
        <v>42.675925925925924</v>
      </c>
      <c r="D36" s="70">
        <f>AVERAGE(G36,H36,I36,J36,M36,T36,W36,Y36,AB36,AC36)</f>
        <v>43.429999999999993</v>
      </c>
      <c r="E36" s="70">
        <f>AVERAGE(AA36,V36,AD36)</f>
        <v>51.622222222222227</v>
      </c>
      <c r="F36" s="792">
        <f>_xlfn.XLOOKUP(A36,Cost!A:A,Cost!N:N,0)</f>
        <v>4.2750000000000004</v>
      </c>
      <c r="G36" s="442">
        <v>59.7</v>
      </c>
      <c r="H36" s="404">
        <v>12</v>
      </c>
      <c r="I36" s="404">
        <v>42.1</v>
      </c>
      <c r="J36" s="518">
        <v>7.8</v>
      </c>
      <c r="K36" s="589">
        <v>8</v>
      </c>
      <c r="L36" s="574">
        <v>7.9</v>
      </c>
      <c r="M36" s="590">
        <v>73.599999999999994</v>
      </c>
      <c r="N36" s="518">
        <v>18</v>
      </c>
      <c r="O36" s="589">
        <v>64</v>
      </c>
      <c r="P36" s="591">
        <v>41</v>
      </c>
      <c r="Q36" s="437">
        <v>3.8</v>
      </c>
      <c r="R36" s="589">
        <v>14.3</v>
      </c>
      <c r="S36" s="437">
        <v>9</v>
      </c>
      <c r="T36" s="404">
        <f>AVERAGE(P36,S36)</f>
        <v>25</v>
      </c>
      <c r="U36" s="404">
        <v>35.533333333333331</v>
      </c>
      <c r="V36" s="496">
        <v>39.383333333333333</v>
      </c>
      <c r="W36" s="534">
        <v>16.100000000000001</v>
      </c>
      <c r="X36" s="442">
        <v>47.9</v>
      </c>
      <c r="Y36" s="437">
        <v>29.1</v>
      </c>
      <c r="Z36" s="535">
        <v>58.3</v>
      </c>
      <c r="AA36" s="401">
        <f t="shared" si="6"/>
        <v>31.033333333333331</v>
      </c>
      <c r="AB36" s="404">
        <v>86.2</v>
      </c>
      <c r="AC36" s="442">
        <v>82.7</v>
      </c>
      <c r="AD36" s="442">
        <v>84.45</v>
      </c>
      <c r="AE36" s="253">
        <v>48.3</v>
      </c>
      <c r="AF36" s="642">
        <v>68.599999999999994</v>
      </c>
      <c r="AG36" s="643">
        <v>51.8</v>
      </c>
      <c r="AH36" s="643">
        <v>42.8</v>
      </c>
      <c r="AI36" s="643">
        <v>48.8</v>
      </c>
      <c r="AJ36" s="643">
        <v>57.6</v>
      </c>
      <c r="AK36" s="643">
        <v>28.2</v>
      </c>
      <c r="AL36" s="643">
        <v>58.9</v>
      </c>
      <c r="AM36" s="643">
        <v>46.2</v>
      </c>
      <c r="AN36" s="643">
        <v>31.2</v>
      </c>
      <c r="AO36" s="643">
        <v>52.3</v>
      </c>
      <c r="AP36" s="643">
        <v>50.4</v>
      </c>
      <c r="AQ36" s="643">
        <v>40.5</v>
      </c>
      <c r="AR36" s="643">
        <v>43.8</v>
      </c>
      <c r="AS36" s="654">
        <v>64.8</v>
      </c>
      <c r="AT36" s="657">
        <v>12032</v>
      </c>
      <c r="AU36" s="253">
        <v>48.3</v>
      </c>
    </row>
    <row r="37" spans="1:47" ht="14" thickBot="1" x14ac:dyDescent="0.2">
      <c r="A37" s="455"/>
      <c r="B37" s="402"/>
      <c r="C37" s="446"/>
      <c r="D37" s="445"/>
      <c r="E37" s="436"/>
      <c r="F37" s="666"/>
      <c r="G37" s="437"/>
      <c r="H37" s="437"/>
      <c r="I37" s="437"/>
      <c r="J37" s="592"/>
      <c r="K37" s="520"/>
      <c r="L37" s="435"/>
      <c r="M37" s="437"/>
      <c r="N37" s="435"/>
      <c r="O37" s="520"/>
      <c r="P37" s="601"/>
      <c r="Q37" s="435"/>
      <c r="R37" s="520"/>
      <c r="S37" s="435"/>
      <c r="T37" s="437"/>
      <c r="U37" s="436"/>
      <c r="V37" s="436"/>
      <c r="W37" s="435"/>
      <c r="X37" s="520"/>
      <c r="Y37" s="520"/>
      <c r="Z37" s="520"/>
      <c r="AA37" s="435"/>
      <c r="AB37" s="526"/>
      <c r="AC37" s="521"/>
      <c r="AD37" s="522"/>
      <c r="AE37" s="436"/>
      <c r="AF37" s="395"/>
      <c r="AG37" s="395"/>
      <c r="AH37" s="395"/>
      <c r="AI37" s="395"/>
      <c r="AJ37" s="395"/>
      <c r="AK37" s="395"/>
      <c r="AL37" s="395"/>
      <c r="AM37" s="395"/>
      <c r="AN37" s="395"/>
      <c r="AO37" s="395"/>
      <c r="AP37" s="395"/>
      <c r="AQ37" s="395"/>
      <c r="AR37" s="395"/>
      <c r="AS37" s="395"/>
      <c r="AT37" s="659"/>
      <c r="AU37" s="395"/>
    </row>
    <row r="38" spans="1:47" ht="13" x14ac:dyDescent="0.15">
      <c r="A38" s="450" t="s">
        <v>465</v>
      </c>
      <c r="B38" s="412" t="s">
        <v>21</v>
      </c>
      <c r="C38" s="415">
        <f>AVERAGE(AE38,G38,H38,I38,L38,M38,T38,AA38,AD38)</f>
        <v>54.459259259259255</v>
      </c>
      <c r="D38" s="68">
        <f>AVERAGE(G38,H38,I38,J38,M38,T38,W38,Y38,AB38,AC38)</f>
        <v>53.354999999999997</v>
      </c>
      <c r="E38" s="68">
        <f>AVERAGE(AA38,V38,AD38)</f>
        <v>53.088888888888881</v>
      </c>
      <c r="F38" s="664">
        <f>_xlfn.XLOOKUP(A38,Cost!A:A,Cost!N:N,0)</f>
        <v>1.9833000000000001</v>
      </c>
      <c r="G38" s="470">
        <v>62.4</v>
      </c>
      <c r="H38" s="413">
        <v>62.4</v>
      </c>
      <c r="I38" s="413">
        <v>67.099999999999994</v>
      </c>
      <c r="J38" s="538">
        <v>58.5</v>
      </c>
      <c r="K38" s="545">
        <v>60.6</v>
      </c>
      <c r="L38" s="480">
        <v>59.7</v>
      </c>
      <c r="M38" s="543">
        <v>84</v>
      </c>
      <c r="N38" s="480">
        <v>17</v>
      </c>
      <c r="O38" s="545">
        <v>55</v>
      </c>
      <c r="P38" s="612">
        <v>36</v>
      </c>
      <c r="Q38" s="480">
        <v>3.8</v>
      </c>
      <c r="R38" s="545">
        <v>32.200000000000003</v>
      </c>
      <c r="S38" s="480">
        <v>18.100000000000001</v>
      </c>
      <c r="T38" s="413">
        <f t="shared" si="14"/>
        <v>27.05</v>
      </c>
      <c r="U38" s="413">
        <v>58.566666666666663</v>
      </c>
      <c r="V38" s="536">
        <v>61.93333333333333</v>
      </c>
      <c r="W38" s="480">
        <v>4.3</v>
      </c>
      <c r="X38" s="537">
        <v>40.4</v>
      </c>
      <c r="Y38" s="538">
        <v>8.8000000000000007</v>
      </c>
      <c r="Z38" s="537">
        <v>40.799999999999997</v>
      </c>
      <c r="AA38" s="506">
        <f t="shared" si="6"/>
        <v>17.833333333333332</v>
      </c>
      <c r="AB38" s="413">
        <v>81.099999999999994</v>
      </c>
      <c r="AC38" s="470">
        <v>77.900000000000006</v>
      </c>
      <c r="AD38" s="470">
        <v>79.5</v>
      </c>
      <c r="AE38" s="649">
        <v>30.15</v>
      </c>
      <c r="AF38" s="647">
        <v>58.2</v>
      </c>
      <c r="AG38" s="648">
        <v>30.2</v>
      </c>
      <c r="AH38" s="648">
        <v>20.7</v>
      </c>
      <c r="AI38" s="648">
        <v>31.7</v>
      </c>
      <c r="AJ38" s="648">
        <v>40.200000000000003</v>
      </c>
      <c r="AK38" s="648">
        <v>18.899999999999999</v>
      </c>
      <c r="AL38" s="648">
        <v>35.1</v>
      </c>
      <c r="AM38" s="648">
        <v>31</v>
      </c>
      <c r="AN38" s="648">
        <v>19.2</v>
      </c>
      <c r="AO38" s="648">
        <v>26</v>
      </c>
      <c r="AP38" s="648">
        <v>32.9</v>
      </c>
      <c r="AQ38" s="648">
        <v>29.1</v>
      </c>
      <c r="AR38" s="648">
        <v>22</v>
      </c>
      <c r="AS38" s="653">
        <v>48.2</v>
      </c>
      <c r="AT38" s="655">
        <v>12032</v>
      </c>
      <c r="AU38" s="108">
        <v>30.2</v>
      </c>
    </row>
    <row r="39" spans="1:47" ht="13" x14ac:dyDescent="0.15">
      <c r="A39" s="467" t="s">
        <v>471</v>
      </c>
      <c r="B39" s="414" t="s">
        <v>21</v>
      </c>
      <c r="C39" s="415">
        <f>AVERAGE(AE39,G39,H39,I39,L39,M39,T39,AA39,AD39)</f>
        <v>52.442962962962966</v>
      </c>
      <c r="D39" s="109">
        <f>AVERAGE(G39,H39,I39,J39,M39,T39,W39,Y39,AB39,AC39)</f>
        <v>53.174999999999997</v>
      </c>
      <c r="E39" s="109">
        <f>AVERAGE(AA39,V39,AD39)</f>
        <v>53.822222222222223</v>
      </c>
      <c r="F39" s="794">
        <f>_xlfn.XLOOKUP(A39,Cost!A:A,Cost!N:N,0)</f>
        <v>1.8667</v>
      </c>
      <c r="G39" s="482">
        <v>53.8</v>
      </c>
      <c r="H39" s="415">
        <v>60</v>
      </c>
      <c r="I39" s="415">
        <v>68.400000000000006</v>
      </c>
      <c r="J39" s="540">
        <v>38.799999999999997</v>
      </c>
      <c r="K39" s="554">
        <v>47.1</v>
      </c>
      <c r="L39" s="486">
        <v>43.5</v>
      </c>
      <c r="M39" s="613">
        <v>83.6</v>
      </c>
      <c r="N39" s="486">
        <v>14</v>
      </c>
      <c r="O39" s="554">
        <v>67</v>
      </c>
      <c r="P39" s="614">
        <v>40.5</v>
      </c>
      <c r="Q39" s="486">
        <v>15.8</v>
      </c>
      <c r="R39" s="554">
        <v>39.1</v>
      </c>
      <c r="S39" s="486">
        <v>27.4</v>
      </c>
      <c r="T39" s="415">
        <f t="shared" si="14"/>
        <v>33.950000000000003</v>
      </c>
      <c r="U39" s="415">
        <v>53.1</v>
      </c>
      <c r="V39" s="487">
        <v>58.300000000000004</v>
      </c>
      <c r="W39" s="486">
        <v>16.100000000000001</v>
      </c>
      <c r="X39" s="539">
        <v>41.7</v>
      </c>
      <c r="Y39" s="540">
        <v>27.9</v>
      </c>
      <c r="Z39" s="539">
        <v>53.5</v>
      </c>
      <c r="AA39" s="493">
        <f t="shared" si="6"/>
        <v>28.566666666666666</v>
      </c>
      <c r="AB39" s="415">
        <v>75.3</v>
      </c>
      <c r="AC39" s="482">
        <v>73.900000000000006</v>
      </c>
      <c r="AD39" s="482">
        <v>74.599999999999994</v>
      </c>
      <c r="AE39" s="194">
        <v>25.57</v>
      </c>
      <c r="AF39" s="641">
        <v>44.49</v>
      </c>
      <c r="AG39" s="195">
        <v>23.57</v>
      </c>
      <c r="AH39" s="195">
        <v>17.84</v>
      </c>
      <c r="AI39" s="195">
        <v>24.88</v>
      </c>
      <c r="AJ39" s="195">
        <v>31.99</v>
      </c>
      <c r="AK39" s="195">
        <v>17.649999999999999</v>
      </c>
      <c r="AL39" s="195">
        <v>28.61</v>
      </c>
      <c r="AM39" s="195">
        <v>27.56</v>
      </c>
      <c r="AN39" s="195">
        <v>18.62</v>
      </c>
      <c r="AO39" s="195">
        <v>23.54</v>
      </c>
      <c r="AP39" s="195">
        <v>28.79</v>
      </c>
      <c r="AQ39" s="195">
        <v>24.85</v>
      </c>
      <c r="AR39" s="195">
        <v>21.25</v>
      </c>
      <c r="AS39" s="207">
        <v>37.47</v>
      </c>
      <c r="AT39" s="656">
        <v>12032</v>
      </c>
      <c r="AU39" s="109">
        <v>25.57</v>
      </c>
    </row>
    <row r="40" spans="1:47" ht="13" x14ac:dyDescent="0.15">
      <c r="A40" s="468" t="s">
        <v>615</v>
      </c>
      <c r="B40" s="414" t="s">
        <v>358</v>
      </c>
      <c r="C40" s="415">
        <f>AVERAGE(AE40,G40,H40,I40,L40,M40,T40,AA40,AD40)</f>
        <v>51.875555555555557</v>
      </c>
      <c r="D40" s="109">
        <f>AVERAGE(G40,H40,I40,J40,M40,T40,W40,Y40,AB40,AC40)</f>
        <v>52.734999999999999</v>
      </c>
      <c r="E40" s="109">
        <f>AVERAGE(AA40,V40,AD40)</f>
        <v>57.705555555555556</v>
      </c>
      <c r="F40" s="794">
        <f>_xlfn.XLOOKUP(A40,Cost!A:A,Cost!N:N,0)</f>
        <v>3.3527999999999998</v>
      </c>
      <c r="G40" s="482">
        <v>77.8</v>
      </c>
      <c r="H40" s="415">
        <v>36.6</v>
      </c>
      <c r="I40" s="415">
        <v>65</v>
      </c>
      <c r="J40" s="540">
        <v>26.9</v>
      </c>
      <c r="K40" s="554">
        <v>28.2</v>
      </c>
      <c r="L40" s="486">
        <v>27.7</v>
      </c>
      <c r="M40" s="613">
        <v>65.3</v>
      </c>
      <c r="N40" s="486">
        <v>26</v>
      </c>
      <c r="O40" s="554">
        <v>87</v>
      </c>
      <c r="P40" s="614">
        <v>56.5</v>
      </c>
      <c r="Q40" s="486">
        <v>3.8</v>
      </c>
      <c r="R40" s="554">
        <v>15</v>
      </c>
      <c r="S40" s="486">
        <v>9.4</v>
      </c>
      <c r="T40" s="415">
        <f t="shared" ref="T40" si="21">AVERAGE(P40,S40)</f>
        <v>32.950000000000003</v>
      </c>
      <c r="U40" s="415">
        <v>49.6</v>
      </c>
      <c r="V40" s="487">
        <v>54.816666666666663</v>
      </c>
      <c r="W40" s="486">
        <v>16.8</v>
      </c>
      <c r="X40" s="539">
        <v>48.4</v>
      </c>
      <c r="Y40" s="540">
        <v>38.6</v>
      </c>
      <c r="Z40" s="539">
        <v>62</v>
      </c>
      <c r="AA40" s="493">
        <f t="shared" si="6"/>
        <v>34.6</v>
      </c>
      <c r="AB40" s="415">
        <v>85.7</v>
      </c>
      <c r="AC40" s="482">
        <v>81.7</v>
      </c>
      <c r="AD40" s="482">
        <v>83.7</v>
      </c>
      <c r="AE40" s="194">
        <v>43.23</v>
      </c>
      <c r="AF40" s="641">
        <v>64.2</v>
      </c>
      <c r="AG40" s="195">
        <v>49.2</v>
      </c>
      <c r="AH40" s="195">
        <v>35.9</v>
      </c>
      <c r="AI40" s="195">
        <v>47.3</v>
      </c>
      <c r="AJ40" s="195">
        <v>52.5</v>
      </c>
      <c r="AK40" s="195">
        <v>26.4</v>
      </c>
      <c r="AL40" s="195">
        <v>47.2</v>
      </c>
      <c r="AM40" s="195">
        <v>39.6</v>
      </c>
      <c r="AN40" s="195">
        <v>25.9</v>
      </c>
      <c r="AO40" s="195">
        <v>48.9</v>
      </c>
      <c r="AP40" s="195">
        <v>45.8</v>
      </c>
      <c r="AQ40" s="195">
        <v>37.299999999999997</v>
      </c>
      <c r="AR40" s="195">
        <v>38.200000000000003</v>
      </c>
      <c r="AS40" s="207">
        <v>58.6</v>
      </c>
      <c r="AT40" s="656">
        <v>12032</v>
      </c>
      <c r="AU40" s="109">
        <v>43.2</v>
      </c>
    </row>
    <row r="41" spans="1:47" ht="13" x14ac:dyDescent="0.15">
      <c r="A41" s="467" t="s">
        <v>470</v>
      </c>
      <c r="B41" s="414" t="s">
        <v>21</v>
      </c>
      <c r="C41" s="415">
        <f>AVERAGE(AE41,G41,H41,I41,L41,M41,T41,AA41,AD41)</f>
        <v>41.258148148148138</v>
      </c>
      <c r="D41" s="109">
        <f>AVERAGE(G41,H41,I41,J41,M41,T41,W41,Y41,AB41,AC41)</f>
        <v>43.885000000000005</v>
      </c>
      <c r="E41" s="109">
        <f>AVERAGE(AA41,V41,AD41)</f>
        <v>48.133333333333333</v>
      </c>
      <c r="F41" s="794">
        <f>_xlfn.XLOOKUP(A41,Cost!A:A,Cost!N:N,0)</f>
        <v>2.8193999999999999</v>
      </c>
      <c r="G41" s="482">
        <v>38.5</v>
      </c>
      <c r="H41" s="415">
        <v>27.8</v>
      </c>
      <c r="I41" s="415">
        <v>45.6</v>
      </c>
      <c r="J41" s="540">
        <v>33.4</v>
      </c>
      <c r="K41" s="554">
        <v>38.4</v>
      </c>
      <c r="L41" s="486">
        <v>36.299999999999997</v>
      </c>
      <c r="M41" s="613">
        <v>87.4</v>
      </c>
      <c r="N41" s="486">
        <v>1</v>
      </c>
      <c r="O41" s="554">
        <v>20</v>
      </c>
      <c r="P41" s="614">
        <v>10.5</v>
      </c>
      <c r="Q41" s="486">
        <v>4.5</v>
      </c>
      <c r="R41" s="554">
        <v>21.1</v>
      </c>
      <c r="S41" s="486">
        <v>12.8</v>
      </c>
      <c r="T41" s="415">
        <f t="shared" si="14"/>
        <v>11.65</v>
      </c>
      <c r="U41" s="415">
        <v>38.950000000000003</v>
      </c>
      <c r="V41" s="487">
        <v>41.016666666666666</v>
      </c>
      <c r="W41" s="486">
        <v>18.7</v>
      </c>
      <c r="X41" s="539">
        <v>41.6</v>
      </c>
      <c r="Y41" s="540">
        <v>27.7</v>
      </c>
      <c r="Z41" s="539">
        <v>53.4</v>
      </c>
      <c r="AA41" s="493">
        <f t="shared" si="6"/>
        <v>29.333333333333332</v>
      </c>
      <c r="AB41" s="415">
        <v>74.7</v>
      </c>
      <c r="AC41" s="482">
        <v>73.400000000000006</v>
      </c>
      <c r="AD41" s="482">
        <v>74.050000000000011</v>
      </c>
      <c r="AE41" s="194">
        <v>20.69</v>
      </c>
      <c r="AF41" s="641">
        <v>41.6</v>
      </c>
      <c r="AG41" s="195">
        <v>14.6</v>
      </c>
      <c r="AH41" s="195">
        <v>12.5</v>
      </c>
      <c r="AI41" s="195">
        <v>21.2</v>
      </c>
      <c r="AJ41" s="195">
        <v>31.8</v>
      </c>
      <c r="AK41" s="195">
        <v>14.9</v>
      </c>
      <c r="AL41" s="195">
        <v>24.3</v>
      </c>
      <c r="AM41" s="195">
        <v>24.1</v>
      </c>
      <c r="AN41" s="195">
        <v>17.3</v>
      </c>
      <c r="AO41" s="195">
        <v>13</v>
      </c>
      <c r="AP41" s="195">
        <v>22.8</v>
      </c>
      <c r="AQ41" s="195">
        <v>20.8</v>
      </c>
      <c r="AR41" s="195">
        <v>13.9</v>
      </c>
      <c r="AS41" s="207">
        <v>35.5</v>
      </c>
      <c r="AT41" s="656">
        <v>12032</v>
      </c>
      <c r="AU41" s="109">
        <v>20.7</v>
      </c>
    </row>
    <row r="42" spans="1:47" ht="14" thickBot="1" x14ac:dyDescent="0.2">
      <c r="A42" s="469" t="s">
        <v>467</v>
      </c>
      <c r="B42" s="403" t="s">
        <v>21</v>
      </c>
      <c r="C42" s="295">
        <f>AVERAGE(AE42,G42,H42,I42,L42,M42,T42,AA42,AD42)</f>
        <v>43.116296296296298</v>
      </c>
      <c r="D42" s="70">
        <f>AVERAGE(G42,H42,I42,J42,M42,T42,W42,Y42,AB42,AC42)</f>
        <v>42.914999999999999</v>
      </c>
      <c r="E42" s="70">
        <f>AVERAGE(AA42,V42,AD42)</f>
        <v>46.055555555555564</v>
      </c>
      <c r="F42" s="664">
        <f>_xlfn.XLOOKUP(A42,Cost!A:A,Cost!N:N,0)</f>
        <v>6.8888999999999996</v>
      </c>
      <c r="G42" s="442">
        <v>41.5</v>
      </c>
      <c r="H42" s="404">
        <v>23</v>
      </c>
      <c r="I42" s="404">
        <v>52.2</v>
      </c>
      <c r="J42" s="518">
        <v>50.7</v>
      </c>
      <c r="K42" s="589">
        <v>54.8</v>
      </c>
      <c r="L42" s="437">
        <v>53</v>
      </c>
      <c r="M42" s="590">
        <v>81.2</v>
      </c>
      <c r="N42" s="437">
        <v>1</v>
      </c>
      <c r="O42" s="589">
        <v>24</v>
      </c>
      <c r="P42" s="615">
        <v>12.5</v>
      </c>
      <c r="Q42" s="437">
        <v>10.5</v>
      </c>
      <c r="R42" s="589">
        <v>28.6</v>
      </c>
      <c r="S42" s="437">
        <v>19.600000000000001</v>
      </c>
      <c r="T42" s="404">
        <f t="shared" si="14"/>
        <v>16.05</v>
      </c>
      <c r="U42" s="404">
        <v>41.6</v>
      </c>
      <c r="V42" s="496">
        <v>43.9</v>
      </c>
      <c r="W42" s="437">
        <v>5.7</v>
      </c>
      <c r="X42" s="519">
        <v>41.6</v>
      </c>
      <c r="Y42" s="518">
        <v>5.4</v>
      </c>
      <c r="Z42" s="519">
        <v>41.4</v>
      </c>
      <c r="AA42" s="401">
        <f t="shared" si="6"/>
        <v>17.566666666666666</v>
      </c>
      <c r="AB42" s="404">
        <v>78</v>
      </c>
      <c r="AC42" s="442">
        <v>75.400000000000006</v>
      </c>
      <c r="AD42" s="442">
        <v>76.7</v>
      </c>
      <c r="AE42" s="445">
        <v>26.83</v>
      </c>
      <c r="AF42" s="642">
        <v>55</v>
      </c>
      <c r="AG42" s="643">
        <v>23.8</v>
      </c>
      <c r="AH42" s="643">
        <v>19.2</v>
      </c>
      <c r="AI42" s="643">
        <v>30.5</v>
      </c>
      <c r="AJ42" s="643">
        <v>37</v>
      </c>
      <c r="AK42" s="643">
        <v>19.8</v>
      </c>
      <c r="AL42" s="643">
        <v>30.6</v>
      </c>
      <c r="AM42" s="643">
        <v>31</v>
      </c>
      <c r="AN42" s="643">
        <v>19.3</v>
      </c>
      <c r="AO42" s="643">
        <v>17.8</v>
      </c>
      <c r="AP42" s="643">
        <v>27.7</v>
      </c>
      <c r="AQ42" s="643">
        <v>24</v>
      </c>
      <c r="AR42" s="643">
        <v>18.2</v>
      </c>
      <c r="AS42" s="654">
        <v>46</v>
      </c>
      <c r="AT42" s="657">
        <v>12032</v>
      </c>
      <c r="AU42" s="253">
        <v>26.8</v>
      </c>
    </row>
    <row r="43" spans="1:47" ht="15.75" customHeight="1" x14ac:dyDescent="0.15">
      <c r="A43" s="177"/>
      <c r="C43" s="408"/>
      <c r="D43" s="409"/>
      <c r="E43" s="410"/>
      <c r="F43" s="668"/>
      <c r="G43" s="408"/>
      <c r="H43" s="408"/>
      <c r="I43" s="408"/>
      <c r="J43" s="408"/>
      <c r="K43" s="408"/>
      <c r="L43" s="408"/>
      <c r="M43" s="408"/>
      <c r="N43" s="408"/>
      <c r="O43" s="398"/>
      <c r="P43" s="398"/>
      <c r="Q43" s="398"/>
      <c r="R43" s="398"/>
      <c r="S43" s="398"/>
      <c r="T43" s="396"/>
      <c r="U43" s="398"/>
      <c r="V43" s="398"/>
      <c r="W43" s="408"/>
      <c r="X43" s="408"/>
      <c r="Y43" s="408"/>
      <c r="Z43" s="408"/>
      <c r="AA43" s="408"/>
      <c r="AB43" s="408"/>
      <c r="AC43" s="408"/>
      <c r="AD43" s="408"/>
      <c r="AE43" s="408"/>
    </row>
    <row r="49" spans="1:22" ht="15.75" customHeight="1" x14ac:dyDescent="0.15">
      <c r="A49" s="177"/>
      <c r="D49" s="395"/>
      <c r="E49" s="394"/>
      <c r="F49" s="669"/>
      <c r="N49"/>
      <c r="T49" s="92"/>
      <c r="U49" s="41"/>
      <c r="V49" s="41"/>
    </row>
  </sheetData>
  <mergeCells count="46">
    <mergeCell ref="AH2:AH4"/>
    <mergeCell ref="AI2:AI4"/>
    <mergeCell ref="Q3:S3"/>
    <mergeCell ref="T3:T4"/>
    <mergeCell ref="W3:X3"/>
    <mergeCell ref="Y3:Z3"/>
    <mergeCell ref="AA3:AA4"/>
    <mergeCell ref="U2:U4"/>
    <mergeCell ref="V2:V4"/>
    <mergeCell ref="W2:AA2"/>
    <mergeCell ref="AB2:AB4"/>
    <mergeCell ref="AC2:AC4"/>
    <mergeCell ref="AD2:AD4"/>
    <mergeCell ref="N2:T2"/>
    <mergeCell ref="C1:C4"/>
    <mergeCell ref="B1:B4"/>
    <mergeCell ref="A1:A4"/>
    <mergeCell ref="AF2:AF4"/>
    <mergeCell ref="AG2:AG4"/>
    <mergeCell ref="G3:G4"/>
    <mergeCell ref="H3:H4"/>
    <mergeCell ref="I3:I4"/>
    <mergeCell ref="J3:L3"/>
    <mergeCell ref="M3:M4"/>
    <mergeCell ref="N3:P3"/>
    <mergeCell ref="W1:AA1"/>
    <mergeCell ref="AB1:AD1"/>
    <mergeCell ref="E1:E4"/>
    <mergeCell ref="D1:D4"/>
    <mergeCell ref="J2:L2"/>
    <mergeCell ref="AE1:AU1"/>
    <mergeCell ref="AE2:AE4"/>
    <mergeCell ref="F1:F4"/>
    <mergeCell ref="AQ2:AQ4"/>
    <mergeCell ref="AR2:AR4"/>
    <mergeCell ref="AS2:AS4"/>
    <mergeCell ref="AT2:AT4"/>
    <mergeCell ref="AU2:AU4"/>
    <mergeCell ref="AK2:AK4"/>
    <mergeCell ref="AJ2:AJ4"/>
    <mergeCell ref="AL2:AL4"/>
    <mergeCell ref="AM2:AM4"/>
    <mergeCell ref="AN2:AN4"/>
    <mergeCell ref="AO2:AO4"/>
    <mergeCell ref="AP2:AP4"/>
    <mergeCell ref="G1:V1"/>
  </mergeCells>
  <pageMargins left="0.7" right="0.7" top="0.75" bottom="0.75" header="0.3" footer="0.3"/>
  <pageSetup orientation="portrait" horizontalDpi="0" verticalDpi="0"/>
  <ignoredErrors>
    <ignoredError sqref="AA7 AA12:AA17 AA19:AA28 AA5:AA6 AA8:AA9 AA10 AA29:AA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CA42-D5D5-D245-8AC6-6DB37926CD75}">
  <dimension ref="A1:N38"/>
  <sheetViews>
    <sheetView workbookViewId="0">
      <selection activeCell="A5" sqref="A5"/>
    </sheetView>
  </sheetViews>
  <sheetFormatPr baseColWidth="10" defaultRowHeight="13" x14ac:dyDescent="0.15"/>
  <cols>
    <col min="1" max="1" width="53.1640625" bestFit="1" customWidth="1"/>
    <col min="2" max="2" width="58.1640625" bestFit="1" customWidth="1"/>
    <col min="3" max="3" width="15.1640625" style="663" bestFit="1" customWidth="1"/>
    <col min="4" max="4" width="21" style="663" bestFit="1" customWidth="1"/>
    <col min="5" max="5" width="19.6640625" style="663" bestFit="1" customWidth="1"/>
    <col min="6" max="6" width="18" style="663" bestFit="1" customWidth="1"/>
    <col min="7" max="7" width="13.1640625" bestFit="1" customWidth="1"/>
    <col min="8" max="8" width="14.1640625" bestFit="1" customWidth="1"/>
    <col min="9" max="9" width="14.33203125" bestFit="1" customWidth="1"/>
    <col min="10" max="10" width="14.6640625" bestFit="1" customWidth="1"/>
    <col min="11" max="11" width="15.33203125" bestFit="1" customWidth="1"/>
    <col min="12" max="12" width="16.5" bestFit="1" customWidth="1"/>
    <col min="13" max="13" width="14.5" bestFit="1" customWidth="1"/>
    <col min="14" max="14" width="12.5" style="663" bestFit="1" customWidth="1"/>
  </cols>
  <sheetData>
    <row r="1" spans="1:14" s="787" customFormat="1" ht="14" thickBot="1" x14ac:dyDescent="0.2">
      <c r="A1" s="790" t="s">
        <v>607</v>
      </c>
      <c r="B1" s="791" t="s">
        <v>550</v>
      </c>
      <c r="C1" s="804" t="s">
        <v>551</v>
      </c>
      <c r="D1" s="804" t="s">
        <v>552</v>
      </c>
      <c r="E1" s="804" t="s">
        <v>553</v>
      </c>
      <c r="F1" s="804" t="s">
        <v>554</v>
      </c>
      <c r="G1" s="791" t="s">
        <v>556</v>
      </c>
      <c r="H1" s="791" t="s">
        <v>557</v>
      </c>
      <c r="I1" s="791" t="s">
        <v>558</v>
      </c>
      <c r="J1" s="791" t="s">
        <v>565</v>
      </c>
      <c r="K1" s="791" t="s">
        <v>566</v>
      </c>
      <c r="L1" s="791" t="s">
        <v>567</v>
      </c>
      <c r="M1" s="791" t="s">
        <v>604</v>
      </c>
      <c r="N1" s="800" t="s">
        <v>555</v>
      </c>
    </row>
    <row r="2" spans="1:14" x14ac:dyDescent="0.15">
      <c r="A2" s="798" t="s">
        <v>374</v>
      </c>
      <c r="B2" s="799" t="s">
        <v>562</v>
      </c>
      <c r="C2" s="805">
        <v>5.7202000000000002</v>
      </c>
      <c r="D2" s="805">
        <v>78.461299999999994</v>
      </c>
      <c r="E2" s="805">
        <v>64.462500000000006</v>
      </c>
      <c r="F2" s="805">
        <v>1005.4883</v>
      </c>
      <c r="G2" s="799">
        <v>12049618</v>
      </c>
      <c r="H2" s="799">
        <v>382702497</v>
      </c>
      <c r="I2" s="799">
        <v>2.9239999999999999E-3</v>
      </c>
      <c r="J2" s="799"/>
      <c r="K2" s="799"/>
      <c r="L2" s="799" t="s">
        <v>568</v>
      </c>
      <c r="M2" s="799" t="s">
        <v>605</v>
      </c>
      <c r="N2" s="801">
        <v>1154.1323</v>
      </c>
    </row>
    <row r="3" spans="1:14" x14ac:dyDescent="0.15">
      <c r="A3" s="789" t="s">
        <v>371</v>
      </c>
      <c r="B3" s="788" t="s">
        <v>564</v>
      </c>
      <c r="C3" s="806">
        <v>202.61940000000001</v>
      </c>
      <c r="D3" s="806">
        <v>79.185400000000001</v>
      </c>
      <c r="E3" s="806">
        <v>38.729900000000001</v>
      </c>
      <c r="F3" s="806">
        <v>187.59739999999999</v>
      </c>
      <c r="G3" s="788">
        <v>19765005</v>
      </c>
      <c r="H3" s="788">
        <v>13643569</v>
      </c>
      <c r="I3" s="788">
        <v>1.521E-2</v>
      </c>
      <c r="J3" s="788"/>
      <c r="K3" s="788"/>
      <c r="L3" s="788" t="s">
        <v>568</v>
      </c>
      <c r="M3" s="788" t="s">
        <v>606</v>
      </c>
      <c r="N3" s="802">
        <v>508.13209999999998</v>
      </c>
    </row>
    <row r="4" spans="1:14" x14ac:dyDescent="0.15">
      <c r="A4" s="795" t="s">
        <v>487</v>
      </c>
      <c r="B4" s="788" t="s">
        <v>563</v>
      </c>
      <c r="C4" s="806">
        <v>30.443899999999999</v>
      </c>
      <c r="D4" s="806">
        <v>23.2834</v>
      </c>
      <c r="E4" s="806">
        <v>4.0444000000000004</v>
      </c>
      <c r="F4" s="806">
        <v>151.89789999999999</v>
      </c>
      <c r="G4" s="788">
        <v>22659871</v>
      </c>
      <c r="H4" s="788">
        <v>12143915</v>
      </c>
      <c r="I4" s="788">
        <v>6.0239999999999998E-3</v>
      </c>
      <c r="J4" s="788"/>
      <c r="K4" s="788"/>
      <c r="L4" s="788" t="s">
        <v>568</v>
      </c>
      <c r="M4" s="788" t="s">
        <v>606</v>
      </c>
      <c r="N4" s="802">
        <v>209.6696</v>
      </c>
    </row>
    <row r="5" spans="1:14" x14ac:dyDescent="0.15">
      <c r="A5" s="789" t="s">
        <v>478</v>
      </c>
      <c r="B5" s="788" t="s">
        <v>608</v>
      </c>
      <c r="C5" s="806">
        <v>41.052799999999998</v>
      </c>
      <c r="D5" s="806">
        <v>12.8833</v>
      </c>
      <c r="E5" s="806">
        <v>23.372199999999999</v>
      </c>
      <c r="F5" s="806">
        <v>115.25279999999999</v>
      </c>
      <c r="G5" s="788"/>
      <c r="H5" s="788"/>
      <c r="I5" s="788"/>
      <c r="J5" s="788">
        <v>38.512</v>
      </c>
      <c r="K5" s="788">
        <v>77.024000000000001</v>
      </c>
      <c r="L5" s="788" t="s">
        <v>569</v>
      </c>
      <c r="M5" s="788"/>
      <c r="N5" s="802">
        <v>192.56110000000001</v>
      </c>
    </row>
    <row r="6" spans="1:14" x14ac:dyDescent="0.15">
      <c r="A6" s="789" t="s">
        <v>19</v>
      </c>
      <c r="B6" s="788" t="s">
        <v>19</v>
      </c>
      <c r="C6" s="806">
        <v>56.675199999999997</v>
      </c>
      <c r="D6" s="806">
        <v>12.2585</v>
      </c>
      <c r="E6" s="806">
        <v>19.078700000000001</v>
      </c>
      <c r="F6" s="806">
        <v>78.225200000000001</v>
      </c>
      <c r="G6" s="788">
        <v>20977607</v>
      </c>
      <c r="H6" s="788">
        <v>63977724</v>
      </c>
      <c r="I6" s="788">
        <v>1.957E-3</v>
      </c>
      <c r="J6" s="788"/>
      <c r="K6" s="788"/>
      <c r="L6" s="788" t="s">
        <v>568</v>
      </c>
      <c r="M6" s="788"/>
      <c r="N6" s="802">
        <v>166.23759999999999</v>
      </c>
    </row>
    <row r="7" spans="1:14" x14ac:dyDescent="0.15">
      <c r="A7" s="789" t="s">
        <v>424</v>
      </c>
      <c r="B7" s="788" t="s">
        <v>561</v>
      </c>
      <c r="C7" s="806">
        <v>0.32219999999999999</v>
      </c>
      <c r="D7" s="806">
        <v>27.926200000000001</v>
      </c>
      <c r="E7" s="806">
        <v>9.8686000000000007</v>
      </c>
      <c r="F7" s="806">
        <v>88.280900000000003</v>
      </c>
      <c r="G7" s="788">
        <v>20817369</v>
      </c>
      <c r="H7" s="788">
        <v>25912563</v>
      </c>
      <c r="I7" s="788">
        <v>2.7049999999999999E-3</v>
      </c>
      <c r="J7" s="788"/>
      <c r="K7" s="788"/>
      <c r="L7" s="788" t="s">
        <v>568</v>
      </c>
      <c r="M7" s="788"/>
      <c r="N7" s="802">
        <v>126.39790000000001</v>
      </c>
    </row>
    <row r="8" spans="1:14" x14ac:dyDescent="0.15">
      <c r="A8" s="789" t="s">
        <v>423</v>
      </c>
      <c r="B8" s="788" t="s">
        <v>559</v>
      </c>
      <c r="C8" s="806">
        <v>2.4458000000000002</v>
      </c>
      <c r="D8" s="806">
        <v>3.7016</v>
      </c>
      <c r="E8" s="806">
        <v>0.47939999999999999</v>
      </c>
      <c r="F8" s="806">
        <v>7.7003000000000004</v>
      </c>
      <c r="G8" s="788">
        <v>20321220</v>
      </c>
      <c r="H8" s="788">
        <v>8840449</v>
      </c>
      <c r="I8" s="788">
        <v>4.9100000000000001E-4</v>
      </c>
      <c r="J8" s="788"/>
      <c r="K8" s="788"/>
      <c r="L8" s="788" t="s">
        <v>568</v>
      </c>
      <c r="M8" s="788"/>
      <c r="N8" s="802">
        <v>14.327199999999999</v>
      </c>
    </row>
    <row r="9" spans="1:14" x14ac:dyDescent="0.15">
      <c r="A9" s="789" t="s">
        <v>609</v>
      </c>
      <c r="B9" s="788" t="s">
        <v>560</v>
      </c>
      <c r="C9" s="806">
        <v>6.1999999999999998E-3</v>
      </c>
      <c r="D9" s="806">
        <v>3.6839</v>
      </c>
      <c r="E9" s="806">
        <v>0.4501</v>
      </c>
      <c r="F9" s="806">
        <v>7.0991999999999997</v>
      </c>
      <c r="G9" s="788">
        <v>20965383</v>
      </c>
      <c r="H9" s="788">
        <v>13946977</v>
      </c>
      <c r="I9" s="788">
        <v>3.2200000000000002E-4</v>
      </c>
      <c r="J9" s="788"/>
      <c r="K9" s="788"/>
      <c r="L9" s="788" t="s">
        <v>568</v>
      </c>
      <c r="M9" s="788"/>
      <c r="N9" s="802">
        <v>11.2394</v>
      </c>
    </row>
    <row r="10" spans="1:14" x14ac:dyDescent="0.15">
      <c r="A10" s="789" t="s">
        <v>413</v>
      </c>
      <c r="B10" s="788" t="s">
        <v>610</v>
      </c>
      <c r="C10" s="806">
        <v>2.5360999999999998</v>
      </c>
      <c r="D10" s="806">
        <v>0.6139</v>
      </c>
      <c r="E10" s="806">
        <v>0.2306</v>
      </c>
      <c r="F10" s="806">
        <v>7.2861000000000002</v>
      </c>
      <c r="G10" s="788"/>
      <c r="H10" s="788"/>
      <c r="I10" s="788"/>
      <c r="J10" s="788">
        <v>2.133</v>
      </c>
      <c r="K10" s="788">
        <v>4.2670000000000003</v>
      </c>
      <c r="L10" s="788" t="s">
        <v>569</v>
      </c>
      <c r="M10" s="788"/>
      <c r="N10" s="802">
        <v>10.666700000000001</v>
      </c>
    </row>
    <row r="11" spans="1:14" x14ac:dyDescent="0.15">
      <c r="A11" s="789" t="s">
        <v>467</v>
      </c>
      <c r="B11" s="788" t="s">
        <v>574</v>
      </c>
      <c r="C11" s="806">
        <v>1.2722</v>
      </c>
      <c r="D11" s="806">
        <v>1.1778</v>
      </c>
      <c r="E11" s="806">
        <v>0.72499999999999998</v>
      </c>
      <c r="F11" s="806">
        <v>3.7139000000000002</v>
      </c>
      <c r="G11" s="788"/>
      <c r="H11" s="788"/>
      <c r="I11" s="788"/>
      <c r="J11" s="788">
        <v>1.3779999999999999</v>
      </c>
      <c r="K11" s="788">
        <v>2.7559999999999998</v>
      </c>
      <c r="L11" s="788" t="s">
        <v>569</v>
      </c>
      <c r="M11" s="788"/>
      <c r="N11" s="802">
        <v>6.8888999999999996</v>
      </c>
    </row>
    <row r="12" spans="1:14" x14ac:dyDescent="0.15">
      <c r="A12" s="789" t="s">
        <v>361</v>
      </c>
      <c r="B12" s="788" t="s">
        <v>611</v>
      </c>
      <c r="C12" s="806">
        <v>1.4278</v>
      </c>
      <c r="D12" s="806">
        <v>0.39169999999999999</v>
      </c>
      <c r="E12" s="806">
        <v>0.16669999999999999</v>
      </c>
      <c r="F12" s="806">
        <v>4.0944000000000003</v>
      </c>
      <c r="G12" s="788"/>
      <c r="H12" s="788"/>
      <c r="I12" s="788"/>
      <c r="J12" s="788">
        <v>1.216</v>
      </c>
      <c r="K12" s="788">
        <v>2.4319999999999999</v>
      </c>
      <c r="L12" s="788" t="s">
        <v>569</v>
      </c>
      <c r="M12" s="788"/>
      <c r="N12" s="802">
        <v>6.0805999999999996</v>
      </c>
    </row>
    <row r="13" spans="1:14" x14ac:dyDescent="0.15">
      <c r="A13" s="789" t="s">
        <v>486</v>
      </c>
      <c r="B13" s="788" t="s">
        <v>570</v>
      </c>
      <c r="C13" s="806">
        <v>4.9832999999999998</v>
      </c>
      <c r="D13" s="806">
        <v>0.34439999999999998</v>
      </c>
      <c r="E13" s="806">
        <v>0.3528</v>
      </c>
      <c r="F13" s="806">
        <v>0.38890000000000002</v>
      </c>
      <c r="G13" s="788"/>
      <c r="H13" s="788"/>
      <c r="I13" s="788"/>
      <c r="J13" s="788">
        <v>1.214</v>
      </c>
      <c r="K13" s="788">
        <v>2.4279999999999999</v>
      </c>
      <c r="L13" s="788" t="s">
        <v>569</v>
      </c>
      <c r="M13" s="788"/>
      <c r="N13" s="802">
        <v>6.0693999999999999</v>
      </c>
    </row>
    <row r="14" spans="1:14" x14ac:dyDescent="0.15">
      <c r="A14" s="789" t="s">
        <v>481</v>
      </c>
      <c r="B14" s="788" t="s">
        <v>590</v>
      </c>
      <c r="C14" s="806">
        <v>2.9889000000000001</v>
      </c>
      <c r="D14" s="806">
        <v>0.34720000000000001</v>
      </c>
      <c r="E14" s="806">
        <v>0.50280000000000002</v>
      </c>
      <c r="F14" s="806">
        <v>2.0472000000000001</v>
      </c>
      <c r="G14" s="788"/>
      <c r="H14" s="788"/>
      <c r="I14" s="788"/>
      <c r="J14" s="788">
        <v>1.177</v>
      </c>
      <c r="K14" s="788">
        <v>2.3540000000000001</v>
      </c>
      <c r="L14" s="788" t="s">
        <v>569</v>
      </c>
      <c r="M14" s="788"/>
      <c r="N14" s="802">
        <v>5.8860999999999999</v>
      </c>
    </row>
    <row r="15" spans="1:14" x14ac:dyDescent="0.15">
      <c r="A15" s="789" t="s">
        <v>479</v>
      </c>
      <c r="B15" s="788" t="s">
        <v>588</v>
      </c>
      <c r="C15" s="806">
        <v>2.1278000000000001</v>
      </c>
      <c r="D15" s="806">
        <v>0.34720000000000001</v>
      </c>
      <c r="E15" s="806">
        <v>1.2222</v>
      </c>
      <c r="F15" s="806">
        <v>1.9556</v>
      </c>
      <c r="G15" s="788"/>
      <c r="H15" s="788"/>
      <c r="I15" s="788"/>
      <c r="J15" s="788">
        <v>1.131</v>
      </c>
      <c r="K15" s="788">
        <v>2.2610000000000001</v>
      </c>
      <c r="L15" s="788" t="s">
        <v>569</v>
      </c>
      <c r="M15" s="788"/>
      <c r="N15" s="802">
        <v>5.6528</v>
      </c>
    </row>
    <row r="16" spans="1:14" x14ac:dyDescent="0.15">
      <c r="A16" s="789" t="s">
        <v>480</v>
      </c>
      <c r="B16" s="788" t="s">
        <v>587</v>
      </c>
      <c r="C16" s="806">
        <v>3.1749999999999998</v>
      </c>
      <c r="D16" s="806">
        <v>0.35830000000000001</v>
      </c>
      <c r="E16" s="806">
        <v>0.33889999999999998</v>
      </c>
      <c r="F16" s="806">
        <v>1.7444</v>
      </c>
      <c r="G16" s="788"/>
      <c r="H16" s="788"/>
      <c r="I16" s="788"/>
      <c r="J16" s="788">
        <v>1.123</v>
      </c>
      <c r="K16" s="788">
        <v>2.2469999999999999</v>
      </c>
      <c r="L16" s="788" t="s">
        <v>569</v>
      </c>
      <c r="M16" s="788"/>
      <c r="N16" s="802">
        <v>5.6166999999999998</v>
      </c>
    </row>
    <row r="17" spans="1:14" x14ac:dyDescent="0.15">
      <c r="A17" s="789" t="s">
        <v>466</v>
      </c>
      <c r="B17" s="788" t="s">
        <v>612</v>
      </c>
      <c r="C17" s="806">
        <v>3.8443999999999998</v>
      </c>
      <c r="D17" s="806">
        <v>0.33889999999999998</v>
      </c>
      <c r="E17" s="806">
        <v>0.32779999999999998</v>
      </c>
      <c r="F17" s="806"/>
      <c r="G17" s="788"/>
      <c r="H17" s="788"/>
      <c r="I17" s="788"/>
      <c r="J17" s="788">
        <v>0.90200000000000002</v>
      </c>
      <c r="K17" s="788">
        <v>1.804</v>
      </c>
      <c r="L17" s="788" t="s">
        <v>569</v>
      </c>
      <c r="M17" s="788"/>
      <c r="N17" s="802">
        <v>4.5110999999999999</v>
      </c>
    </row>
    <row r="18" spans="1:14" x14ac:dyDescent="0.15">
      <c r="A18" s="789" t="s">
        <v>484</v>
      </c>
      <c r="B18" s="788" t="s">
        <v>589</v>
      </c>
      <c r="C18" s="806">
        <v>2.0861000000000001</v>
      </c>
      <c r="D18" s="806">
        <v>0.3417</v>
      </c>
      <c r="E18" s="806">
        <v>0.33329999999999999</v>
      </c>
      <c r="F18" s="806">
        <v>1.7194</v>
      </c>
      <c r="G18" s="788"/>
      <c r="H18" s="788"/>
      <c r="I18" s="788"/>
      <c r="J18" s="788">
        <v>0.89600000000000002</v>
      </c>
      <c r="K18" s="788">
        <v>1.792</v>
      </c>
      <c r="L18" s="788" t="s">
        <v>569</v>
      </c>
      <c r="M18" s="788"/>
      <c r="N18" s="802">
        <v>4.4805999999999999</v>
      </c>
    </row>
    <row r="19" spans="1:14" x14ac:dyDescent="0.15">
      <c r="A19" s="789" t="s">
        <v>362</v>
      </c>
      <c r="B19" s="788" t="s">
        <v>613</v>
      </c>
      <c r="C19" s="806">
        <v>1.0889</v>
      </c>
      <c r="D19" s="806">
        <v>0.32500000000000001</v>
      </c>
      <c r="E19" s="806">
        <v>0.1167</v>
      </c>
      <c r="F19" s="806">
        <v>2.7444000000000002</v>
      </c>
      <c r="G19" s="788"/>
      <c r="H19" s="788"/>
      <c r="I19" s="788"/>
      <c r="J19" s="788">
        <v>0.85499999999999998</v>
      </c>
      <c r="K19" s="788">
        <v>1.71</v>
      </c>
      <c r="L19" s="788" t="s">
        <v>569</v>
      </c>
      <c r="M19" s="788"/>
      <c r="N19" s="802">
        <v>4.2750000000000004</v>
      </c>
    </row>
    <row r="20" spans="1:14" x14ac:dyDescent="0.15">
      <c r="A20" s="795" t="s">
        <v>615</v>
      </c>
      <c r="B20" s="788" t="s">
        <v>614</v>
      </c>
      <c r="C20" s="806">
        <v>0.53059999999999996</v>
      </c>
      <c r="D20" s="806">
        <v>0.18329999999999999</v>
      </c>
      <c r="E20" s="806">
        <v>0.1167</v>
      </c>
      <c r="F20" s="806">
        <v>2.5222000000000002</v>
      </c>
      <c r="G20" s="788"/>
      <c r="H20" s="788"/>
      <c r="I20" s="788"/>
      <c r="J20" s="788">
        <v>0.67100000000000004</v>
      </c>
      <c r="K20" s="788">
        <v>1.341</v>
      </c>
      <c r="L20" s="788" t="s">
        <v>569</v>
      </c>
      <c r="M20" s="788"/>
      <c r="N20" s="802">
        <v>3.3527999999999998</v>
      </c>
    </row>
    <row r="21" spans="1:14" x14ac:dyDescent="0.15">
      <c r="A21" s="789" t="s">
        <v>458</v>
      </c>
      <c r="B21" s="788" t="s">
        <v>581</v>
      </c>
      <c r="C21" s="806">
        <v>1.2888999999999999</v>
      </c>
      <c r="D21" s="806">
        <v>0.57779999999999998</v>
      </c>
      <c r="E21" s="806">
        <v>0.19719999999999999</v>
      </c>
      <c r="F21" s="806">
        <v>1.0778000000000001</v>
      </c>
      <c r="G21" s="788"/>
      <c r="H21" s="788"/>
      <c r="I21" s="788"/>
      <c r="J21" s="788">
        <v>0.628</v>
      </c>
      <c r="K21" s="788">
        <v>1.2569999999999999</v>
      </c>
      <c r="L21" s="788" t="s">
        <v>569</v>
      </c>
      <c r="M21" s="788"/>
      <c r="N21" s="802">
        <v>3.1417000000000002</v>
      </c>
    </row>
    <row r="22" spans="1:14" x14ac:dyDescent="0.15">
      <c r="A22" s="789" t="s">
        <v>457</v>
      </c>
      <c r="B22" s="788" t="s">
        <v>579</v>
      </c>
      <c r="C22" s="806">
        <v>1.2388999999999999</v>
      </c>
      <c r="D22" s="806">
        <v>0.71109999999999995</v>
      </c>
      <c r="E22" s="806">
        <v>0.19170000000000001</v>
      </c>
      <c r="F22" s="806">
        <v>0.88329999999999997</v>
      </c>
      <c r="G22" s="788"/>
      <c r="H22" s="788"/>
      <c r="I22" s="788"/>
      <c r="J22" s="788">
        <v>0.60499999999999998</v>
      </c>
      <c r="K22" s="788">
        <v>1.21</v>
      </c>
      <c r="L22" s="788" t="s">
        <v>569</v>
      </c>
      <c r="M22" s="788"/>
      <c r="N22" s="802">
        <v>3.0249999999999999</v>
      </c>
    </row>
    <row r="23" spans="1:14" x14ac:dyDescent="0.15">
      <c r="A23" s="789" t="s">
        <v>474</v>
      </c>
      <c r="B23" s="788" t="s">
        <v>582</v>
      </c>
      <c r="C23" s="806">
        <v>1.0667</v>
      </c>
      <c r="D23" s="806">
        <v>0.65</v>
      </c>
      <c r="E23" s="806">
        <v>0.23330000000000001</v>
      </c>
      <c r="F23" s="806">
        <v>0.93330000000000002</v>
      </c>
      <c r="G23" s="788"/>
      <c r="H23" s="788"/>
      <c r="I23" s="788"/>
      <c r="J23" s="788">
        <v>0.57699999999999996</v>
      </c>
      <c r="K23" s="788">
        <v>1.153</v>
      </c>
      <c r="L23" s="788" t="s">
        <v>569</v>
      </c>
      <c r="M23" s="788"/>
      <c r="N23" s="802">
        <v>2.8833000000000002</v>
      </c>
    </row>
    <row r="24" spans="1:14" x14ac:dyDescent="0.15">
      <c r="A24" s="789" t="s">
        <v>477</v>
      </c>
      <c r="B24" s="788" t="s">
        <v>584</v>
      </c>
      <c r="C24" s="806">
        <v>1.2194</v>
      </c>
      <c r="D24" s="806">
        <v>0.59440000000000004</v>
      </c>
      <c r="E24" s="806">
        <v>0.23330000000000001</v>
      </c>
      <c r="F24" s="806">
        <v>0.78610000000000002</v>
      </c>
      <c r="G24" s="788"/>
      <c r="H24" s="788"/>
      <c r="I24" s="788"/>
      <c r="J24" s="788">
        <v>0.56699999999999995</v>
      </c>
      <c r="K24" s="788">
        <v>1.133</v>
      </c>
      <c r="L24" s="788" t="s">
        <v>569</v>
      </c>
      <c r="M24" s="788"/>
      <c r="N24" s="802">
        <v>2.8332999999999999</v>
      </c>
    </row>
    <row r="25" spans="1:14" x14ac:dyDescent="0.15">
      <c r="A25" s="789" t="s">
        <v>470</v>
      </c>
      <c r="B25" s="788" t="s">
        <v>572</v>
      </c>
      <c r="C25" s="806">
        <v>0.82499999999999996</v>
      </c>
      <c r="D25" s="806">
        <v>0.25829999999999997</v>
      </c>
      <c r="E25" s="806">
        <v>0.44440000000000002</v>
      </c>
      <c r="F25" s="806">
        <v>1.2917000000000001</v>
      </c>
      <c r="G25" s="788"/>
      <c r="H25" s="788"/>
      <c r="I25" s="788"/>
      <c r="J25" s="788">
        <v>0.56399999999999995</v>
      </c>
      <c r="K25" s="788">
        <v>1.1279999999999999</v>
      </c>
      <c r="L25" s="788" t="s">
        <v>569</v>
      </c>
      <c r="M25" s="788"/>
      <c r="N25" s="802">
        <v>2.8193999999999999</v>
      </c>
    </row>
    <row r="26" spans="1:14" x14ac:dyDescent="0.15">
      <c r="A26" s="789" t="s">
        <v>475</v>
      </c>
      <c r="B26" s="788" t="s">
        <v>586</v>
      </c>
      <c r="C26" s="806">
        <v>0.98329999999999995</v>
      </c>
      <c r="D26" s="806">
        <v>0.65280000000000005</v>
      </c>
      <c r="E26" s="806">
        <v>0.2278</v>
      </c>
      <c r="F26" s="806">
        <v>0.8639</v>
      </c>
      <c r="G26" s="788"/>
      <c r="H26" s="788"/>
      <c r="I26" s="788"/>
      <c r="J26" s="788">
        <v>0.54600000000000004</v>
      </c>
      <c r="K26" s="788">
        <v>1.091</v>
      </c>
      <c r="L26" s="788" t="s">
        <v>569</v>
      </c>
      <c r="M26" s="788"/>
      <c r="N26" s="802">
        <v>2.7277999999999998</v>
      </c>
    </row>
    <row r="27" spans="1:14" x14ac:dyDescent="0.15">
      <c r="A27" s="789" t="s">
        <v>462</v>
      </c>
      <c r="B27" s="788" t="s">
        <v>578</v>
      </c>
      <c r="C27" s="806">
        <v>0.62219999999999998</v>
      </c>
      <c r="D27" s="806">
        <v>0.89439999999999997</v>
      </c>
      <c r="E27" s="806">
        <v>0.11940000000000001</v>
      </c>
      <c r="F27" s="806">
        <v>0.94169999999999998</v>
      </c>
      <c r="G27" s="788"/>
      <c r="H27" s="788"/>
      <c r="I27" s="788"/>
      <c r="J27" s="788">
        <v>0.51600000000000001</v>
      </c>
      <c r="K27" s="788">
        <v>1.0309999999999999</v>
      </c>
      <c r="L27" s="788" t="s">
        <v>569</v>
      </c>
      <c r="M27" s="788"/>
      <c r="N27" s="802">
        <v>2.5777999999999999</v>
      </c>
    </row>
    <row r="28" spans="1:14" x14ac:dyDescent="0.15">
      <c r="A28" s="789" t="s">
        <v>473</v>
      </c>
      <c r="B28" s="788" t="s">
        <v>585</v>
      </c>
      <c r="C28" s="806">
        <v>1.0361</v>
      </c>
      <c r="D28" s="806">
        <v>0.58889999999999998</v>
      </c>
      <c r="E28" s="806">
        <v>0.2361</v>
      </c>
      <c r="F28" s="806">
        <v>0.6472</v>
      </c>
      <c r="G28" s="788"/>
      <c r="H28" s="788"/>
      <c r="I28" s="788"/>
      <c r="J28" s="788">
        <v>0.502</v>
      </c>
      <c r="K28" s="788">
        <v>1.0029999999999999</v>
      </c>
      <c r="L28" s="788" t="s">
        <v>569</v>
      </c>
      <c r="M28" s="788"/>
      <c r="N28" s="802">
        <v>2.5083000000000002</v>
      </c>
    </row>
    <row r="29" spans="1:14" x14ac:dyDescent="0.15">
      <c r="A29" s="789" t="s">
        <v>460</v>
      </c>
      <c r="B29" s="788" t="s">
        <v>580</v>
      </c>
      <c r="C29" s="806">
        <v>0.84440000000000004</v>
      </c>
      <c r="D29" s="806">
        <v>0.56110000000000004</v>
      </c>
      <c r="E29" s="806">
        <v>0.2</v>
      </c>
      <c r="F29" s="806">
        <v>0.64170000000000005</v>
      </c>
      <c r="G29" s="788"/>
      <c r="H29" s="788"/>
      <c r="I29" s="788"/>
      <c r="J29" s="788">
        <v>0.44900000000000001</v>
      </c>
      <c r="K29" s="788">
        <v>0.89900000000000002</v>
      </c>
      <c r="L29" s="788" t="s">
        <v>569</v>
      </c>
      <c r="M29" s="788"/>
      <c r="N29" s="802">
        <v>2.2471999999999999</v>
      </c>
    </row>
    <row r="30" spans="1:14" x14ac:dyDescent="0.15">
      <c r="A30" s="789" t="s">
        <v>476</v>
      </c>
      <c r="B30" s="788" t="s">
        <v>583</v>
      </c>
      <c r="C30" s="806">
        <v>0.73329999999999995</v>
      </c>
      <c r="D30" s="806">
        <v>0.58609999999999995</v>
      </c>
      <c r="E30" s="806">
        <v>0.2278</v>
      </c>
      <c r="F30" s="806">
        <v>0.62780000000000002</v>
      </c>
      <c r="G30" s="788"/>
      <c r="H30" s="788"/>
      <c r="I30" s="788"/>
      <c r="J30" s="788">
        <v>0.435</v>
      </c>
      <c r="K30" s="788">
        <v>0.87</v>
      </c>
      <c r="L30" s="788" t="s">
        <v>569</v>
      </c>
      <c r="M30" s="788"/>
      <c r="N30" s="802">
        <v>2.1749999999999998</v>
      </c>
    </row>
    <row r="31" spans="1:14" x14ac:dyDescent="0.15">
      <c r="A31" s="789" t="s">
        <v>465</v>
      </c>
      <c r="B31" s="788" t="s">
        <v>571</v>
      </c>
      <c r="C31" s="806">
        <v>0.51390000000000002</v>
      </c>
      <c r="D31" s="806">
        <v>0.35830000000000001</v>
      </c>
      <c r="E31" s="806">
        <v>0.2167</v>
      </c>
      <c r="F31" s="806">
        <v>0.89439999999999997</v>
      </c>
      <c r="G31" s="788"/>
      <c r="H31" s="788"/>
      <c r="I31" s="788"/>
      <c r="J31" s="788">
        <v>0.39700000000000002</v>
      </c>
      <c r="K31" s="788">
        <v>0.79300000000000004</v>
      </c>
      <c r="L31" s="788" t="s">
        <v>569</v>
      </c>
      <c r="M31" s="788"/>
      <c r="N31" s="802">
        <v>1.9833000000000001</v>
      </c>
    </row>
    <row r="32" spans="1:14" x14ac:dyDescent="0.15">
      <c r="A32" s="789" t="s">
        <v>471</v>
      </c>
      <c r="B32" s="788" t="s">
        <v>573</v>
      </c>
      <c r="C32" s="806">
        <v>0.57499999999999996</v>
      </c>
      <c r="D32" s="806">
        <v>0.19439999999999999</v>
      </c>
      <c r="E32" s="806">
        <v>0.1333</v>
      </c>
      <c r="F32" s="806">
        <v>0.96389999999999998</v>
      </c>
      <c r="G32" s="788"/>
      <c r="H32" s="788"/>
      <c r="I32" s="788"/>
      <c r="J32" s="788">
        <v>0.373</v>
      </c>
      <c r="K32" s="788">
        <v>0.747</v>
      </c>
      <c r="L32" s="788" t="s">
        <v>569</v>
      </c>
      <c r="M32" s="788"/>
      <c r="N32" s="802">
        <v>1.8667</v>
      </c>
    </row>
    <row r="33" spans="1:14" x14ac:dyDescent="0.15">
      <c r="A33" s="789" t="s">
        <v>461</v>
      </c>
      <c r="B33" s="788" t="s">
        <v>575</v>
      </c>
      <c r="C33" s="806">
        <v>0.46110000000000001</v>
      </c>
      <c r="D33" s="806">
        <v>0.2472</v>
      </c>
      <c r="E33" s="806">
        <v>0.1222</v>
      </c>
      <c r="F33" s="806">
        <v>0.62780000000000002</v>
      </c>
      <c r="G33" s="788"/>
      <c r="H33" s="788"/>
      <c r="I33" s="788"/>
      <c r="J33" s="788">
        <v>0.29199999999999998</v>
      </c>
      <c r="K33" s="788">
        <v>0.58299999999999996</v>
      </c>
      <c r="L33" s="788" t="s">
        <v>569</v>
      </c>
      <c r="M33" s="788"/>
      <c r="N33" s="802">
        <v>1.4582999999999999</v>
      </c>
    </row>
    <row r="34" spans="1:14" x14ac:dyDescent="0.15">
      <c r="A34" s="789" t="s">
        <v>464</v>
      </c>
      <c r="B34" s="788" t="s">
        <v>577</v>
      </c>
      <c r="C34" s="806">
        <v>0.4889</v>
      </c>
      <c r="D34" s="806">
        <v>0.18329999999999999</v>
      </c>
      <c r="E34" s="806">
        <v>0.1167</v>
      </c>
      <c r="F34" s="806">
        <v>2.5000000000000001E-2</v>
      </c>
      <c r="G34" s="788"/>
      <c r="H34" s="788"/>
      <c r="I34" s="788"/>
      <c r="J34" s="788">
        <v>0.16300000000000001</v>
      </c>
      <c r="K34" s="788">
        <v>0.32600000000000001</v>
      </c>
      <c r="L34" s="788" t="s">
        <v>569</v>
      </c>
      <c r="M34" s="788"/>
      <c r="N34" s="802">
        <v>0.81389999999999996</v>
      </c>
    </row>
    <row r="35" spans="1:14" ht="14" thickBot="1" x14ac:dyDescent="0.2">
      <c r="A35" s="796" t="s">
        <v>463</v>
      </c>
      <c r="B35" s="797" t="s">
        <v>576</v>
      </c>
      <c r="C35" s="807">
        <v>0.28610000000000002</v>
      </c>
      <c r="D35" s="807">
        <v>0.18609999999999999</v>
      </c>
      <c r="E35" s="807">
        <v>0.11940000000000001</v>
      </c>
      <c r="F35" s="807">
        <v>0.2</v>
      </c>
      <c r="G35" s="797"/>
      <c r="H35" s="797"/>
      <c r="I35" s="797"/>
      <c r="J35" s="797">
        <v>0.158</v>
      </c>
      <c r="K35" s="797">
        <v>0.317</v>
      </c>
      <c r="L35" s="797" t="s">
        <v>569</v>
      </c>
      <c r="M35" s="797"/>
      <c r="N35" s="803">
        <v>0.79169999999999996</v>
      </c>
    </row>
    <row r="38" spans="1:14" x14ac:dyDescent="0.15">
      <c r="A38" s="468" t="s">
        <v>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AFEA-4747-8140-93FA-361172EF36AD}">
  <dimension ref="B1:S36"/>
  <sheetViews>
    <sheetView workbookViewId="0">
      <selection activeCell="B13" sqref="B13:B15"/>
    </sheetView>
  </sheetViews>
  <sheetFormatPr baseColWidth="10" defaultRowHeight="13" x14ac:dyDescent="0.15"/>
  <cols>
    <col min="2" max="2" width="59.1640625" bestFit="1" customWidth="1"/>
    <col min="3" max="3" width="6.83203125" bestFit="1" customWidth="1"/>
    <col min="4" max="4" width="7.33203125" bestFit="1" customWidth="1"/>
    <col min="5" max="5" width="7.5" bestFit="1" customWidth="1"/>
    <col min="6" max="6" width="7.83203125" bestFit="1" customWidth="1"/>
    <col min="7" max="7" width="8.33203125" bestFit="1" customWidth="1"/>
    <col min="8" max="8" width="7.5" bestFit="1" customWidth="1"/>
    <col min="9" max="9" width="7" bestFit="1" customWidth="1"/>
    <col min="10" max="10" width="6.33203125" bestFit="1" customWidth="1"/>
    <col min="11" max="11" width="5.83203125" bestFit="1" customWidth="1"/>
    <col min="12" max="12" width="6" bestFit="1" customWidth="1"/>
    <col min="13" max="13" width="6.1640625" bestFit="1" customWidth="1"/>
    <col min="14" max="14" width="6.6640625" bestFit="1" customWidth="1"/>
    <col min="15" max="15" width="7" bestFit="1" customWidth="1"/>
    <col min="16" max="16" width="7.6640625" bestFit="1" customWidth="1"/>
    <col min="17" max="17" width="6.1640625" bestFit="1" customWidth="1"/>
    <col min="18" max="18" width="7.1640625" bestFit="1" customWidth="1"/>
    <col min="19" max="19" width="8" bestFit="1" customWidth="1"/>
  </cols>
  <sheetData>
    <row r="1" spans="2:19" x14ac:dyDescent="0.15">
      <c r="B1" s="635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  <c r="L1" t="s">
        <v>505</v>
      </c>
      <c r="M1" t="s">
        <v>506</v>
      </c>
      <c r="N1" t="s">
        <v>507</v>
      </c>
      <c r="O1" t="s">
        <v>508</v>
      </c>
      <c r="P1" t="s">
        <v>509</v>
      </c>
      <c r="Q1" t="s">
        <v>510</v>
      </c>
      <c r="R1" t="s">
        <v>511</v>
      </c>
      <c r="S1" t="s">
        <v>512</v>
      </c>
    </row>
    <row r="2" spans="2:19" x14ac:dyDescent="0.15">
      <c r="B2" s="635" t="s">
        <v>513</v>
      </c>
      <c r="C2" t="s">
        <v>513</v>
      </c>
      <c r="D2" t="s">
        <v>513</v>
      </c>
      <c r="E2" t="s">
        <v>513</v>
      </c>
      <c r="F2" t="s">
        <v>513</v>
      </c>
      <c r="G2" t="s">
        <v>513</v>
      </c>
      <c r="H2" t="s">
        <v>513</v>
      </c>
      <c r="I2" t="s">
        <v>513</v>
      </c>
      <c r="J2" t="s">
        <v>513</v>
      </c>
      <c r="K2" t="s">
        <v>513</v>
      </c>
      <c r="L2" t="s">
        <v>513</v>
      </c>
      <c r="M2" t="s">
        <v>513</v>
      </c>
      <c r="N2" t="s">
        <v>513</v>
      </c>
      <c r="O2" t="s">
        <v>513</v>
      </c>
      <c r="P2" t="s">
        <v>513</v>
      </c>
      <c r="Q2" t="s">
        <v>513</v>
      </c>
      <c r="R2" t="s">
        <v>513</v>
      </c>
      <c r="S2" t="s">
        <v>513</v>
      </c>
    </row>
    <row r="3" spans="2:19" x14ac:dyDescent="0.15">
      <c r="B3" s="635" t="s">
        <v>514</v>
      </c>
      <c r="C3">
        <v>80.3</v>
      </c>
      <c r="D3">
        <v>71.400000000000006</v>
      </c>
      <c r="E3">
        <v>64.099999999999994</v>
      </c>
      <c r="F3">
        <v>68</v>
      </c>
      <c r="G3">
        <v>74.900000000000006</v>
      </c>
      <c r="H3">
        <v>45.2</v>
      </c>
      <c r="I3">
        <v>64.3</v>
      </c>
      <c r="J3">
        <v>57</v>
      </c>
      <c r="K3">
        <v>39.1</v>
      </c>
      <c r="L3">
        <v>75.5</v>
      </c>
      <c r="M3">
        <v>63</v>
      </c>
      <c r="N3">
        <v>55.1</v>
      </c>
      <c r="O3">
        <v>67.5</v>
      </c>
      <c r="P3">
        <v>71.900000000000006</v>
      </c>
      <c r="Q3">
        <v>12032</v>
      </c>
      <c r="R3">
        <v>64.099999999999994</v>
      </c>
      <c r="S3">
        <v>1.1000000000000001</v>
      </c>
    </row>
    <row r="4" spans="2:19" x14ac:dyDescent="0.15">
      <c r="B4" s="635" t="s">
        <v>515</v>
      </c>
      <c r="C4">
        <v>84.4</v>
      </c>
      <c r="D4">
        <v>75.2</v>
      </c>
      <c r="E4">
        <v>70.400000000000006</v>
      </c>
      <c r="F4">
        <v>73.900000000000006</v>
      </c>
      <c r="G4">
        <v>77.5</v>
      </c>
      <c r="H4">
        <v>55.2</v>
      </c>
      <c r="I4">
        <v>70.900000000000006</v>
      </c>
      <c r="J4">
        <v>58.3</v>
      </c>
      <c r="K4">
        <v>44.3</v>
      </c>
      <c r="L4">
        <v>79.099999999999994</v>
      </c>
      <c r="M4">
        <v>66.099999999999994</v>
      </c>
      <c r="N4">
        <v>59.9</v>
      </c>
      <c r="O4">
        <v>72.3</v>
      </c>
      <c r="P4">
        <v>76.2</v>
      </c>
      <c r="Q4">
        <v>12032</v>
      </c>
      <c r="R4">
        <v>69</v>
      </c>
      <c r="S4">
        <v>0.4</v>
      </c>
    </row>
    <row r="5" spans="2:19" x14ac:dyDescent="0.15">
      <c r="B5" s="635" t="s">
        <v>516</v>
      </c>
      <c r="C5">
        <v>80.599999999999994</v>
      </c>
      <c r="D5">
        <v>43.2</v>
      </c>
      <c r="E5">
        <v>40.5</v>
      </c>
      <c r="F5">
        <v>55.4</v>
      </c>
      <c r="G5">
        <v>69.3</v>
      </c>
      <c r="H5">
        <v>47.5</v>
      </c>
      <c r="I5">
        <v>63.8</v>
      </c>
      <c r="J5">
        <v>61.7</v>
      </c>
      <c r="K5">
        <v>36.6</v>
      </c>
      <c r="L5">
        <v>49.5</v>
      </c>
      <c r="M5">
        <v>52.3</v>
      </c>
      <c r="N5">
        <v>53.5</v>
      </c>
      <c r="O5">
        <v>44.6</v>
      </c>
      <c r="P5">
        <v>70.900000000000006</v>
      </c>
      <c r="Q5">
        <v>12032</v>
      </c>
      <c r="R5">
        <v>53</v>
      </c>
      <c r="S5">
        <v>0</v>
      </c>
    </row>
    <row r="6" spans="2:19" x14ac:dyDescent="0.15">
      <c r="B6" s="635" t="s">
        <v>517</v>
      </c>
      <c r="C6">
        <v>58.2</v>
      </c>
      <c r="D6">
        <v>30.2</v>
      </c>
      <c r="E6">
        <v>20.7</v>
      </c>
      <c r="F6">
        <v>31.7</v>
      </c>
      <c r="G6">
        <v>40.200000000000003</v>
      </c>
      <c r="H6">
        <v>18.899999999999999</v>
      </c>
      <c r="I6">
        <v>35.1</v>
      </c>
      <c r="J6">
        <v>31</v>
      </c>
      <c r="K6">
        <v>19.2</v>
      </c>
      <c r="L6">
        <v>26</v>
      </c>
      <c r="M6">
        <v>32.9</v>
      </c>
      <c r="N6">
        <v>29.1</v>
      </c>
      <c r="O6">
        <v>22</v>
      </c>
      <c r="P6">
        <v>48.2</v>
      </c>
      <c r="Q6">
        <v>12032</v>
      </c>
      <c r="R6">
        <v>30.2</v>
      </c>
      <c r="S6">
        <v>0.7</v>
      </c>
    </row>
    <row r="7" spans="2:19" x14ac:dyDescent="0.15">
      <c r="B7" s="635" t="s">
        <v>518</v>
      </c>
      <c r="C7">
        <v>41.6</v>
      </c>
      <c r="D7">
        <v>14.6</v>
      </c>
      <c r="E7">
        <v>12.5</v>
      </c>
      <c r="F7">
        <v>21.2</v>
      </c>
      <c r="G7">
        <v>31.8</v>
      </c>
      <c r="H7">
        <v>14.9</v>
      </c>
      <c r="I7">
        <v>24.3</v>
      </c>
      <c r="J7">
        <v>24.1</v>
      </c>
      <c r="K7">
        <v>17.3</v>
      </c>
      <c r="L7">
        <v>13</v>
      </c>
      <c r="M7">
        <v>22.8</v>
      </c>
      <c r="N7">
        <v>20.8</v>
      </c>
      <c r="O7">
        <v>13.9</v>
      </c>
      <c r="P7">
        <v>35.5</v>
      </c>
      <c r="Q7">
        <v>12032</v>
      </c>
      <c r="R7">
        <v>20.7</v>
      </c>
      <c r="S7">
        <v>0.2</v>
      </c>
    </row>
    <row r="8" spans="2:19" x14ac:dyDescent="0.15">
      <c r="B8" s="635" t="s">
        <v>519</v>
      </c>
      <c r="C8">
        <v>55</v>
      </c>
      <c r="D8">
        <v>23.8</v>
      </c>
      <c r="E8">
        <v>19.2</v>
      </c>
      <c r="F8">
        <v>30.5</v>
      </c>
      <c r="G8">
        <v>37</v>
      </c>
      <c r="H8">
        <v>19.8</v>
      </c>
      <c r="I8">
        <v>30.6</v>
      </c>
      <c r="J8">
        <v>31</v>
      </c>
      <c r="K8">
        <v>19.3</v>
      </c>
      <c r="L8">
        <v>17.8</v>
      </c>
      <c r="M8">
        <v>27.7</v>
      </c>
      <c r="N8">
        <v>24</v>
      </c>
      <c r="O8">
        <v>18.2</v>
      </c>
      <c r="P8">
        <v>46</v>
      </c>
      <c r="Q8">
        <v>12032</v>
      </c>
      <c r="R8">
        <v>26.8</v>
      </c>
      <c r="S8">
        <v>0.6</v>
      </c>
    </row>
    <row r="9" spans="2:19" x14ac:dyDescent="0.15">
      <c r="B9" s="635" t="s">
        <v>520</v>
      </c>
      <c r="C9">
        <v>54.3</v>
      </c>
      <c r="D9">
        <v>30.4</v>
      </c>
      <c r="E9">
        <v>18.600000000000001</v>
      </c>
      <c r="F9">
        <v>27.6</v>
      </c>
      <c r="G9">
        <v>37.299999999999997</v>
      </c>
      <c r="H9">
        <v>15.7</v>
      </c>
      <c r="I9">
        <v>37.299999999999997</v>
      </c>
      <c r="J9">
        <v>32.799999999999997</v>
      </c>
      <c r="K9">
        <v>18.3</v>
      </c>
      <c r="L9">
        <v>28.3</v>
      </c>
      <c r="M9">
        <v>32.6</v>
      </c>
      <c r="N9">
        <v>32.299999999999997</v>
      </c>
      <c r="O9">
        <v>24.5</v>
      </c>
      <c r="P9">
        <v>44.1</v>
      </c>
      <c r="Q9">
        <v>12032</v>
      </c>
      <c r="R9">
        <v>29.6</v>
      </c>
      <c r="S9">
        <v>8.4</v>
      </c>
    </row>
    <row r="10" spans="2:19" x14ac:dyDescent="0.15">
      <c r="B10" s="635" t="s">
        <v>521</v>
      </c>
      <c r="C10">
        <v>44.8</v>
      </c>
      <c r="D10">
        <v>15.8</v>
      </c>
      <c r="E10">
        <v>14.6</v>
      </c>
      <c r="F10">
        <v>23.4</v>
      </c>
      <c r="G10">
        <v>31.8</v>
      </c>
      <c r="H10">
        <v>19</v>
      </c>
      <c r="I10">
        <v>26.5</v>
      </c>
      <c r="J10">
        <v>22.6</v>
      </c>
      <c r="K10">
        <v>18.399999999999999</v>
      </c>
      <c r="L10">
        <v>14.7</v>
      </c>
      <c r="M10">
        <v>21.6</v>
      </c>
      <c r="N10">
        <v>21.2</v>
      </c>
      <c r="O10">
        <v>15.2</v>
      </c>
      <c r="P10">
        <v>39.1</v>
      </c>
      <c r="Q10">
        <v>12032</v>
      </c>
      <c r="R10">
        <v>22.3</v>
      </c>
      <c r="S10">
        <v>0.4</v>
      </c>
    </row>
    <row r="11" spans="2:19" x14ac:dyDescent="0.15">
      <c r="B11" s="635" t="s">
        <v>522</v>
      </c>
      <c r="C11">
        <v>46.2</v>
      </c>
      <c r="D11">
        <v>24.6</v>
      </c>
      <c r="E11">
        <v>20.100000000000001</v>
      </c>
      <c r="F11">
        <v>29.3</v>
      </c>
      <c r="G11">
        <v>34.1</v>
      </c>
      <c r="H11">
        <v>19.2</v>
      </c>
      <c r="I11">
        <v>36.6</v>
      </c>
      <c r="J11">
        <v>26</v>
      </c>
      <c r="K11">
        <v>19.8</v>
      </c>
      <c r="L11">
        <v>23</v>
      </c>
      <c r="M11">
        <v>28.7</v>
      </c>
      <c r="N11">
        <v>28.3</v>
      </c>
      <c r="O11">
        <v>24.4</v>
      </c>
      <c r="P11">
        <v>41.6</v>
      </c>
      <c r="Q11">
        <v>12032</v>
      </c>
      <c r="R11">
        <v>27.7</v>
      </c>
      <c r="S11">
        <v>5.3</v>
      </c>
    </row>
    <row r="12" spans="2:19" x14ac:dyDescent="0.15">
      <c r="B12" s="635" t="s">
        <v>523</v>
      </c>
      <c r="C12">
        <v>44.4</v>
      </c>
      <c r="D12">
        <v>23.2</v>
      </c>
      <c r="E12">
        <v>14</v>
      </c>
      <c r="F12">
        <v>18.5</v>
      </c>
      <c r="G12">
        <v>33.5</v>
      </c>
      <c r="H12">
        <v>16.2</v>
      </c>
      <c r="I12">
        <v>33.1</v>
      </c>
      <c r="J12">
        <v>24.1</v>
      </c>
      <c r="K12">
        <v>16.600000000000001</v>
      </c>
      <c r="L12">
        <v>15.3</v>
      </c>
      <c r="M12">
        <v>24.4</v>
      </c>
      <c r="N12">
        <v>23.8</v>
      </c>
      <c r="O12">
        <v>17.600000000000001</v>
      </c>
      <c r="P12">
        <v>38.700000000000003</v>
      </c>
      <c r="Q12">
        <v>12032</v>
      </c>
      <c r="R12">
        <v>23.3</v>
      </c>
      <c r="S12">
        <v>19.5</v>
      </c>
    </row>
    <row r="13" spans="2:19" x14ac:dyDescent="0.15">
      <c r="B13" s="635" t="s">
        <v>524</v>
      </c>
      <c r="C13">
        <v>72</v>
      </c>
      <c r="D13">
        <v>54.1</v>
      </c>
      <c r="E13">
        <v>43</v>
      </c>
      <c r="F13">
        <v>56.6</v>
      </c>
      <c r="G13">
        <v>64.099999999999994</v>
      </c>
      <c r="H13">
        <v>40.200000000000003</v>
      </c>
      <c r="I13">
        <v>54.2</v>
      </c>
      <c r="J13">
        <v>46.2</v>
      </c>
      <c r="K13">
        <v>27.5</v>
      </c>
      <c r="L13">
        <v>56.9</v>
      </c>
      <c r="M13">
        <v>53.6</v>
      </c>
      <c r="N13">
        <v>48.5</v>
      </c>
      <c r="O13">
        <v>46.6</v>
      </c>
      <c r="P13">
        <v>64</v>
      </c>
      <c r="Q13">
        <v>12032</v>
      </c>
      <c r="R13">
        <v>51</v>
      </c>
      <c r="S13">
        <v>0.8</v>
      </c>
    </row>
    <row r="14" spans="2:19" x14ac:dyDescent="0.15">
      <c r="B14" s="635" t="s">
        <v>525</v>
      </c>
      <c r="C14">
        <v>70.3</v>
      </c>
      <c r="D14">
        <v>55.6</v>
      </c>
      <c r="E14">
        <v>43.1</v>
      </c>
      <c r="F14">
        <v>56.8</v>
      </c>
      <c r="G14">
        <v>63</v>
      </c>
      <c r="H14">
        <v>36.200000000000003</v>
      </c>
      <c r="I14">
        <v>55.5</v>
      </c>
      <c r="J14">
        <v>47.5</v>
      </c>
      <c r="K14">
        <v>27.3</v>
      </c>
      <c r="L14">
        <v>54.9</v>
      </c>
      <c r="M14">
        <v>51.7</v>
      </c>
      <c r="N14">
        <v>47.9</v>
      </c>
      <c r="O14">
        <v>43.8</v>
      </c>
      <c r="P14">
        <v>65.900000000000006</v>
      </c>
      <c r="Q14">
        <v>12032</v>
      </c>
      <c r="R14">
        <v>50.2</v>
      </c>
      <c r="S14">
        <v>0.4</v>
      </c>
    </row>
    <row r="15" spans="2:19" x14ac:dyDescent="0.15">
      <c r="B15" s="635" t="s">
        <v>526</v>
      </c>
      <c r="C15">
        <v>71.400000000000006</v>
      </c>
      <c r="D15">
        <v>56.1</v>
      </c>
      <c r="E15">
        <v>44.8</v>
      </c>
      <c r="F15">
        <v>52.9</v>
      </c>
      <c r="G15">
        <v>62.3</v>
      </c>
      <c r="H15">
        <v>40.6</v>
      </c>
      <c r="I15">
        <v>53.7</v>
      </c>
      <c r="J15">
        <v>47</v>
      </c>
      <c r="K15">
        <v>28.9</v>
      </c>
      <c r="L15">
        <v>57.2</v>
      </c>
      <c r="M15">
        <v>53.2</v>
      </c>
      <c r="N15">
        <v>47.9</v>
      </c>
      <c r="O15">
        <v>46.1</v>
      </c>
      <c r="P15">
        <v>63.3</v>
      </c>
      <c r="Q15">
        <v>12032</v>
      </c>
      <c r="R15">
        <v>51</v>
      </c>
      <c r="S15">
        <v>0.9</v>
      </c>
    </row>
    <row r="16" spans="2:19" x14ac:dyDescent="0.15">
      <c r="B16" s="635" t="s">
        <v>527</v>
      </c>
      <c r="C16">
        <v>79.099999999999994</v>
      </c>
      <c r="D16">
        <v>60.5</v>
      </c>
      <c r="E16">
        <v>52.4</v>
      </c>
      <c r="F16">
        <v>63.4</v>
      </c>
      <c r="G16">
        <v>72.3</v>
      </c>
      <c r="H16">
        <v>50.3</v>
      </c>
      <c r="I16">
        <v>63.8</v>
      </c>
      <c r="J16">
        <v>54.6</v>
      </c>
      <c r="K16">
        <v>37.799999999999997</v>
      </c>
      <c r="L16">
        <v>63.1</v>
      </c>
      <c r="M16">
        <v>59.1</v>
      </c>
      <c r="N16">
        <v>59.3</v>
      </c>
      <c r="O16">
        <v>55</v>
      </c>
      <c r="P16">
        <v>71.900000000000006</v>
      </c>
      <c r="Q16">
        <v>12032</v>
      </c>
      <c r="R16">
        <v>59.2</v>
      </c>
      <c r="S16">
        <v>0.3</v>
      </c>
    </row>
    <row r="17" spans="2:19" x14ac:dyDescent="0.15">
      <c r="B17" s="635" t="s">
        <v>528</v>
      </c>
      <c r="C17">
        <v>77.400000000000006</v>
      </c>
      <c r="D17">
        <v>49</v>
      </c>
      <c r="E17">
        <v>39.200000000000003</v>
      </c>
      <c r="F17">
        <v>61.7</v>
      </c>
      <c r="G17">
        <v>69.3</v>
      </c>
      <c r="H17">
        <v>40.4</v>
      </c>
      <c r="I17">
        <v>64.5</v>
      </c>
      <c r="J17">
        <v>54.1</v>
      </c>
      <c r="K17">
        <v>41</v>
      </c>
      <c r="L17">
        <v>53.9</v>
      </c>
      <c r="M17">
        <v>56.2</v>
      </c>
      <c r="N17">
        <v>57.5</v>
      </c>
      <c r="O17">
        <v>46</v>
      </c>
      <c r="P17">
        <v>73.8</v>
      </c>
      <c r="Q17">
        <v>12032</v>
      </c>
      <c r="R17">
        <v>54.2</v>
      </c>
      <c r="S17">
        <v>0.2</v>
      </c>
    </row>
    <row r="18" spans="2:19" x14ac:dyDescent="0.15">
      <c r="B18" s="635" t="s">
        <v>529</v>
      </c>
      <c r="C18">
        <v>78.2</v>
      </c>
      <c r="D18">
        <v>56.5</v>
      </c>
      <c r="E18">
        <v>47.7</v>
      </c>
      <c r="F18">
        <v>63.2</v>
      </c>
      <c r="G18">
        <v>72</v>
      </c>
      <c r="H18">
        <v>48</v>
      </c>
      <c r="I18">
        <v>66.900000000000006</v>
      </c>
      <c r="J18">
        <v>55.1</v>
      </c>
      <c r="K18">
        <v>35.6</v>
      </c>
      <c r="L18">
        <v>60.5</v>
      </c>
      <c r="M18">
        <v>59.1</v>
      </c>
      <c r="N18">
        <v>59.5</v>
      </c>
      <c r="O18">
        <v>49.1</v>
      </c>
      <c r="P18">
        <v>72.400000000000006</v>
      </c>
      <c r="Q18">
        <v>12032</v>
      </c>
      <c r="R18">
        <v>57.4</v>
      </c>
      <c r="S18">
        <v>0.2</v>
      </c>
    </row>
    <row r="19" spans="2:19" x14ac:dyDescent="0.15">
      <c r="B19" s="635" t="s">
        <v>530</v>
      </c>
      <c r="C19">
        <v>77.099999999999994</v>
      </c>
      <c r="D19">
        <v>48.8</v>
      </c>
      <c r="E19">
        <v>40.1</v>
      </c>
      <c r="F19">
        <v>62.2</v>
      </c>
      <c r="G19">
        <v>71</v>
      </c>
      <c r="H19">
        <v>41.3</v>
      </c>
      <c r="I19">
        <v>66.400000000000006</v>
      </c>
      <c r="J19">
        <v>54.3</v>
      </c>
      <c r="K19">
        <v>40.4</v>
      </c>
      <c r="L19">
        <v>54.8</v>
      </c>
      <c r="M19">
        <v>55.5</v>
      </c>
      <c r="N19">
        <v>60.3</v>
      </c>
      <c r="O19">
        <v>45.8</v>
      </c>
      <c r="P19">
        <v>72.7</v>
      </c>
      <c r="Q19">
        <v>12032</v>
      </c>
      <c r="R19">
        <v>54.6</v>
      </c>
      <c r="S19">
        <v>0.2</v>
      </c>
    </row>
    <row r="20" spans="2:19" x14ac:dyDescent="0.15">
      <c r="B20" s="635" t="s">
        <v>531</v>
      </c>
      <c r="C20">
        <v>79.900000000000006</v>
      </c>
      <c r="D20">
        <v>59.7</v>
      </c>
      <c r="E20">
        <v>50.8</v>
      </c>
      <c r="F20">
        <v>64.900000000000006</v>
      </c>
      <c r="G20">
        <v>71.7</v>
      </c>
      <c r="H20">
        <v>50.3</v>
      </c>
      <c r="I20">
        <v>63.9</v>
      </c>
      <c r="J20">
        <v>54.6</v>
      </c>
      <c r="K20">
        <v>35.299999999999997</v>
      </c>
      <c r="L20">
        <v>60.9</v>
      </c>
      <c r="M20">
        <v>58.5</v>
      </c>
      <c r="N20">
        <v>58.1</v>
      </c>
      <c r="O20">
        <v>52.3</v>
      </c>
      <c r="P20">
        <v>71.2</v>
      </c>
      <c r="Q20">
        <v>12032</v>
      </c>
      <c r="R20">
        <v>58.2</v>
      </c>
      <c r="S20">
        <v>0.2</v>
      </c>
    </row>
    <row r="21" spans="2:19" x14ac:dyDescent="0.15">
      <c r="B21" s="635" t="s">
        <v>532</v>
      </c>
      <c r="C21">
        <v>78</v>
      </c>
      <c r="D21">
        <v>62</v>
      </c>
      <c r="E21">
        <v>56.2</v>
      </c>
      <c r="F21">
        <v>58.8</v>
      </c>
      <c r="G21">
        <v>71.3</v>
      </c>
      <c r="H21">
        <v>53.6</v>
      </c>
      <c r="I21">
        <v>65.3</v>
      </c>
      <c r="J21">
        <v>54.3</v>
      </c>
      <c r="K21">
        <v>34.700000000000003</v>
      </c>
      <c r="L21">
        <v>64.400000000000006</v>
      </c>
      <c r="M21">
        <v>55.8</v>
      </c>
      <c r="N21">
        <v>52.1</v>
      </c>
      <c r="O21">
        <v>56.7</v>
      </c>
      <c r="P21">
        <v>68.3</v>
      </c>
      <c r="Q21">
        <v>12032</v>
      </c>
      <c r="R21">
        <v>59</v>
      </c>
      <c r="S21">
        <v>1.4</v>
      </c>
    </row>
    <row r="22" spans="2:19" x14ac:dyDescent="0.15">
      <c r="B22" s="635" t="s">
        <v>533</v>
      </c>
      <c r="C22">
        <v>80.599999999999994</v>
      </c>
      <c r="D22">
        <v>43.2</v>
      </c>
      <c r="E22">
        <v>40.5</v>
      </c>
      <c r="F22">
        <v>55.9</v>
      </c>
      <c r="G22">
        <v>69.3</v>
      </c>
      <c r="H22">
        <v>47.6</v>
      </c>
      <c r="I22">
        <v>63.8</v>
      </c>
      <c r="J22">
        <v>61.7</v>
      </c>
      <c r="K22">
        <v>36.6</v>
      </c>
      <c r="L22">
        <v>49.4</v>
      </c>
      <c r="M22">
        <v>52.2</v>
      </c>
      <c r="N22">
        <v>53.5</v>
      </c>
      <c r="O22">
        <v>44.9</v>
      </c>
      <c r="P22">
        <v>70.900000000000006</v>
      </c>
      <c r="Q22">
        <v>12032</v>
      </c>
      <c r="R22">
        <v>53</v>
      </c>
      <c r="S22">
        <v>0</v>
      </c>
    </row>
    <row r="23" spans="2:19" x14ac:dyDescent="0.15">
      <c r="B23" s="635" t="s">
        <v>534</v>
      </c>
      <c r="C23">
        <v>76</v>
      </c>
      <c r="D23">
        <v>65</v>
      </c>
      <c r="E23">
        <v>57.2</v>
      </c>
      <c r="F23">
        <v>58.3</v>
      </c>
      <c r="G23">
        <v>69</v>
      </c>
      <c r="H23">
        <v>48.7</v>
      </c>
      <c r="I23">
        <v>63.8</v>
      </c>
      <c r="J23">
        <v>51.4</v>
      </c>
      <c r="K23">
        <v>33.200000000000003</v>
      </c>
      <c r="L23">
        <v>64.599999999999994</v>
      </c>
      <c r="M23">
        <v>57.3</v>
      </c>
      <c r="N23">
        <v>53.5</v>
      </c>
      <c r="O23">
        <v>58.7</v>
      </c>
      <c r="P23">
        <v>66</v>
      </c>
      <c r="Q23">
        <v>12032</v>
      </c>
      <c r="R23">
        <v>58.5</v>
      </c>
      <c r="S23">
        <v>1.3</v>
      </c>
    </row>
    <row r="24" spans="2:19" x14ac:dyDescent="0.15">
      <c r="B24" s="635" t="s">
        <v>535</v>
      </c>
      <c r="C24">
        <v>80.5</v>
      </c>
      <c r="D24">
        <v>59.8</v>
      </c>
      <c r="E24">
        <v>54.3</v>
      </c>
      <c r="F24">
        <v>59.3</v>
      </c>
      <c r="G24">
        <v>69.8</v>
      </c>
      <c r="H24">
        <v>47.9</v>
      </c>
      <c r="I24">
        <v>63.7</v>
      </c>
      <c r="J24">
        <v>53.8</v>
      </c>
      <c r="K24">
        <v>33.299999999999997</v>
      </c>
      <c r="L24">
        <v>62.8</v>
      </c>
      <c r="M24">
        <v>56</v>
      </c>
      <c r="N24">
        <v>52.1</v>
      </c>
      <c r="O24">
        <v>56</v>
      </c>
      <c r="P24">
        <v>68.2</v>
      </c>
      <c r="Q24">
        <v>12032</v>
      </c>
      <c r="R24">
        <v>57.8</v>
      </c>
      <c r="S24">
        <v>1.3</v>
      </c>
    </row>
    <row r="25" spans="2:19" x14ac:dyDescent="0.15">
      <c r="B25" s="635" t="s">
        <v>536</v>
      </c>
      <c r="C25">
        <v>79.099999999999994</v>
      </c>
      <c r="D25">
        <v>63.4</v>
      </c>
      <c r="E25">
        <v>55.9</v>
      </c>
      <c r="F25">
        <v>56.3</v>
      </c>
      <c r="G25">
        <v>70</v>
      </c>
      <c r="H25">
        <v>50.4</v>
      </c>
      <c r="I25">
        <v>62.8</v>
      </c>
      <c r="J25">
        <v>55.6</v>
      </c>
      <c r="K25">
        <v>34</v>
      </c>
      <c r="L25">
        <v>63</v>
      </c>
      <c r="M25">
        <v>55.4</v>
      </c>
      <c r="N25">
        <v>51.1</v>
      </c>
      <c r="O25">
        <v>59.7</v>
      </c>
      <c r="P25">
        <v>66.5</v>
      </c>
      <c r="Q25">
        <v>12032</v>
      </c>
      <c r="R25">
        <v>58.5</v>
      </c>
      <c r="S25">
        <v>1.9</v>
      </c>
    </row>
    <row r="26" spans="2:19" x14ac:dyDescent="0.15">
      <c r="B26" s="635" t="s">
        <v>537</v>
      </c>
      <c r="C26" t="s">
        <v>538</v>
      </c>
      <c r="D26">
        <v>78.3</v>
      </c>
      <c r="E26" t="s">
        <v>538</v>
      </c>
      <c r="F26" t="s">
        <v>538</v>
      </c>
      <c r="G26" t="s">
        <v>538</v>
      </c>
      <c r="H26" t="s">
        <v>538</v>
      </c>
      <c r="I26" t="s">
        <v>538</v>
      </c>
      <c r="J26" t="s">
        <v>538</v>
      </c>
      <c r="K26" t="s">
        <v>538</v>
      </c>
      <c r="L26" t="s">
        <v>538</v>
      </c>
      <c r="M26" t="s">
        <v>538</v>
      </c>
      <c r="N26" t="s">
        <v>538</v>
      </c>
      <c r="O26" t="s">
        <v>538</v>
      </c>
      <c r="P26" t="s">
        <v>538</v>
      </c>
      <c r="Q26">
        <v>23</v>
      </c>
      <c r="R26">
        <v>78.3</v>
      </c>
      <c r="S26">
        <v>0</v>
      </c>
    </row>
    <row r="27" spans="2:19" x14ac:dyDescent="0.15">
      <c r="B27" s="635" t="s">
        <v>539</v>
      </c>
      <c r="C27">
        <v>91.2</v>
      </c>
      <c r="D27">
        <v>87.5</v>
      </c>
      <c r="E27">
        <v>86.5</v>
      </c>
      <c r="F27">
        <v>85.6</v>
      </c>
      <c r="G27">
        <v>87.9</v>
      </c>
      <c r="H27">
        <v>69.2</v>
      </c>
      <c r="I27">
        <v>80.400000000000006</v>
      </c>
      <c r="J27">
        <v>73.8</v>
      </c>
      <c r="K27">
        <v>67</v>
      </c>
      <c r="L27">
        <v>90.9</v>
      </c>
      <c r="M27">
        <v>80.5</v>
      </c>
      <c r="N27">
        <v>81</v>
      </c>
      <c r="O27">
        <v>87.2</v>
      </c>
      <c r="P27">
        <v>82.7</v>
      </c>
      <c r="Q27">
        <v>12032</v>
      </c>
      <c r="R27">
        <v>82.6</v>
      </c>
      <c r="S27">
        <v>0.3</v>
      </c>
    </row>
    <row r="28" spans="2:19" x14ac:dyDescent="0.15">
      <c r="B28" s="635" t="s">
        <v>540</v>
      </c>
      <c r="C28">
        <v>89.5</v>
      </c>
      <c r="D28">
        <v>83.8</v>
      </c>
      <c r="E28">
        <v>77.8</v>
      </c>
      <c r="F28">
        <v>82.9</v>
      </c>
      <c r="G28">
        <v>85.4</v>
      </c>
      <c r="H28">
        <v>56.3</v>
      </c>
      <c r="I28">
        <v>78.2</v>
      </c>
      <c r="J28">
        <v>73.8</v>
      </c>
      <c r="K28">
        <v>64.7</v>
      </c>
      <c r="L28">
        <v>87.7</v>
      </c>
      <c r="M28">
        <v>80.8</v>
      </c>
      <c r="N28">
        <v>82</v>
      </c>
      <c r="O28">
        <v>81.599999999999994</v>
      </c>
      <c r="P28">
        <v>86.2</v>
      </c>
      <c r="Q28">
        <v>12032</v>
      </c>
      <c r="R28">
        <v>79.099999999999994</v>
      </c>
      <c r="S28">
        <v>0.9</v>
      </c>
    </row>
    <row r="29" spans="2:19" x14ac:dyDescent="0.15">
      <c r="B29" s="635" t="s">
        <v>541</v>
      </c>
      <c r="C29">
        <v>64.2</v>
      </c>
      <c r="D29">
        <v>49.2</v>
      </c>
      <c r="E29">
        <v>35.9</v>
      </c>
      <c r="F29">
        <v>47.3</v>
      </c>
      <c r="G29">
        <v>52.5</v>
      </c>
      <c r="H29">
        <v>26.4</v>
      </c>
      <c r="I29">
        <v>47.2</v>
      </c>
      <c r="J29">
        <v>39.6</v>
      </c>
      <c r="K29">
        <v>25.9</v>
      </c>
      <c r="L29">
        <v>48.9</v>
      </c>
      <c r="M29">
        <v>45.8</v>
      </c>
      <c r="N29">
        <v>37.299999999999997</v>
      </c>
      <c r="O29">
        <v>38.200000000000003</v>
      </c>
      <c r="P29">
        <v>58.6</v>
      </c>
      <c r="Q29">
        <v>12032</v>
      </c>
      <c r="R29">
        <v>43.2</v>
      </c>
      <c r="S29">
        <v>1.1000000000000001</v>
      </c>
    </row>
    <row r="30" spans="2:19" x14ac:dyDescent="0.15">
      <c r="B30" s="635" t="s">
        <v>542</v>
      </c>
      <c r="C30">
        <v>91.2</v>
      </c>
      <c r="D30">
        <v>87.8</v>
      </c>
      <c r="E30">
        <v>87.9</v>
      </c>
      <c r="F30">
        <v>85.1</v>
      </c>
      <c r="G30">
        <v>86</v>
      </c>
      <c r="H30">
        <v>72.3</v>
      </c>
      <c r="I30">
        <v>78</v>
      </c>
      <c r="J30">
        <v>72.7</v>
      </c>
      <c r="K30">
        <v>67.8</v>
      </c>
      <c r="L30">
        <v>87.3</v>
      </c>
      <c r="M30">
        <v>80</v>
      </c>
      <c r="N30">
        <v>78</v>
      </c>
      <c r="O30">
        <v>86.7</v>
      </c>
      <c r="P30">
        <v>83.2</v>
      </c>
      <c r="Q30">
        <v>12032</v>
      </c>
      <c r="R30">
        <v>82.1</v>
      </c>
      <c r="S30">
        <v>0.7</v>
      </c>
    </row>
    <row r="31" spans="2:19" x14ac:dyDescent="0.15">
      <c r="B31" s="635" t="s">
        <v>543</v>
      </c>
      <c r="C31">
        <v>94.7</v>
      </c>
      <c r="D31">
        <v>92.3</v>
      </c>
      <c r="E31">
        <v>92.5</v>
      </c>
      <c r="F31">
        <v>88.3</v>
      </c>
      <c r="G31">
        <v>91.6</v>
      </c>
      <c r="H31">
        <v>88.1</v>
      </c>
      <c r="I31">
        <v>82.5</v>
      </c>
      <c r="J31">
        <v>80.599999999999994</v>
      </c>
      <c r="K31">
        <v>78.599999999999994</v>
      </c>
      <c r="L31">
        <v>96.2</v>
      </c>
      <c r="M31">
        <v>86</v>
      </c>
      <c r="N31">
        <v>86.2</v>
      </c>
      <c r="O31">
        <v>92.5</v>
      </c>
      <c r="P31">
        <v>89.1</v>
      </c>
      <c r="Q31">
        <v>12032</v>
      </c>
      <c r="R31">
        <v>89.2</v>
      </c>
      <c r="S31">
        <v>0.1</v>
      </c>
    </row>
    <row r="32" spans="2:19" x14ac:dyDescent="0.15">
      <c r="B32" s="635" t="s">
        <v>544</v>
      </c>
      <c r="C32">
        <v>91.1</v>
      </c>
      <c r="D32">
        <v>82.9</v>
      </c>
      <c r="E32">
        <v>84.6</v>
      </c>
      <c r="F32">
        <v>83.7</v>
      </c>
      <c r="G32">
        <v>85</v>
      </c>
      <c r="H32">
        <v>67.400000000000006</v>
      </c>
      <c r="I32">
        <v>78.5</v>
      </c>
      <c r="J32">
        <v>72.7</v>
      </c>
      <c r="K32">
        <v>68.8</v>
      </c>
      <c r="L32">
        <v>91.1</v>
      </c>
      <c r="M32">
        <v>78.8</v>
      </c>
      <c r="N32">
        <v>80.400000000000006</v>
      </c>
      <c r="O32">
        <v>83.8</v>
      </c>
      <c r="P32">
        <v>85.7</v>
      </c>
      <c r="Q32">
        <v>12032</v>
      </c>
      <c r="R32">
        <v>81.3</v>
      </c>
      <c r="S32">
        <v>0.2</v>
      </c>
    </row>
    <row r="33" spans="2:19" x14ac:dyDescent="0.15">
      <c r="B33" s="635" t="s">
        <v>545</v>
      </c>
      <c r="C33">
        <v>93</v>
      </c>
      <c r="D33">
        <v>91.3</v>
      </c>
      <c r="E33">
        <v>90.4</v>
      </c>
      <c r="F33">
        <v>88.5</v>
      </c>
      <c r="G33">
        <v>89.3</v>
      </c>
      <c r="H33">
        <v>82</v>
      </c>
      <c r="I33">
        <v>81.400000000000006</v>
      </c>
      <c r="J33">
        <v>75.099999999999994</v>
      </c>
      <c r="K33">
        <v>75.7</v>
      </c>
      <c r="L33">
        <v>93.3</v>
      </c>
      <c r="M33">
        <v>82.1</v>
      </c>
      <c r="N33">
        <v>84.2</v>
      </c>
      <c r="O33">
        <v>89.8</v>
      </c>
      <c r="P33">
        <v>86</v>
      </c>
      <c r="Q33">
        <v>12032</v>
      </c>
      <c r="R33">
        <v>86.4</v>
      </c>
      <c r="S33">
        <v>0.3</v>
      </c>
    </row>
    <row r="34" spans="2:19" x14ac:dyDescent="0.15">
      <c r="B34" s="635" t="s">
        <v>546</v>
      </c>
      <c r="C34">
        <v>94</v>
      </c>
      <c r="D34">
        <v>92.3</v>
      </c>
      <c r="E34">
        <v>90.7</v>
      </c>
      <c r="F34">
        <v>89</v>
      </c>
      <c r="G34">
        <v>90.2</v>
      </c>
      <c r="H34">
        <v>84.7</v>
      </c>
      <c r="I34">
        <v>84.1</v>
      </c>
      <c r="J34">
        <v>80.3</v>
      </c>
      <c r="K34">
        <v>78.7</v>
      </c>
      <c r="L34">
        <v>95</v>
      </c>
      <c r="M34">
        <v>84.4</v>
      </c>
      <c r="N34">
        <v>86.6</v>
      </c>
      <c r="O34">
        <v>91.3</v>
      </c>
      <c r="P34">
        <v>88</v>
      </c>
      <c r="Q34">
        <v>12032</v>
      </c>
      <c r="R34">
        <v>88.3</v>
      </c>
      <c r="S34">
        <v>0.2</v>
      </c>
    </row>
    <row r="35" spans="2:19" x14ac:dyDescent="0.15">
      <c r="B35" s="635" t="s">
        <v>547</v>
      </c>
      <c r="C35">
        <v>68.599999999999994</v>
      </c>
      <c r="D35">
        <v>51.8</v>
      </c>
      <c r="E35">
        <v>42.8</v>
      </c>
      <c r="F35">
        <v>48.8</v>
      </c>
      <c r="G35">
        <v>57.6</v>
      </c>
      <c r="H35">
        <v>28.2</v>
      </c>
      <c r="I35">
        <v>58.9</v>
      </c>
      <c r="J35">
        <v>46.2</v>
      </c>
      <c r="K35">
        <v>31.2</v>
      </c>
      <c r="L35">
        <v>52.3</v>
      </c>
      <c r="M35">
        <v>50.4</v>
      </c>
      <c r="N35">
        <v>40.5</v>
      </c>
      <c r="O35">
        <v>43.8</v>
      </c>
      <c r="P35">
        <v>64.8</v>
      </c>
      <c r="Q35">
        <v>12032</v>
      </c>
      <c r="R35">
        <v>48.3</v>
      </c>
      <c r="S35">
        <v>7.3</v>
      </c>
    </row>
    <row r="36" spans="2:19" x14ac:dyDescent="0.15">
      <c r="B36" s="635" t="s">
        <v>548</v>
      </c>
      <c r="C36">
        <v>88.3</v>
      </c>
      <c r="D36">
        <v>82</v>
      </c>
      <c r="E36">
        <v>82.8</v>
      </c>
      <c r="F36">
        <v>83.7</v>
      </c>
      <c r="G36">
        <v>84.7</v>
      </c>
      <c r="H36">
        <v>58.7</v>
      </c>
      <c r="I36">
        <v>75.8</v>
      </c>
      <c r="J36">
        <v>65.599999999999994</v>
      </c>
      <c r="K36">
        <v>56.1</v>
      </c>
      <c r="L36">
        <v>90.9</v>
      </c>
      <c r="M36">
        <v>74.8</v>
      </c>
      <c r="N36">
        <v>71.900000000000006</v>
      </c>
      <c r="O36">
        <v>84.4</v>
      </c>
      <c r="P36">
        <v>78.7</v>
      </c>
      <c r="Q36">
        <v>12032</v>
      </c>
      <c r="R36">
        <v>77.599999999999994</v>
      </c>
      <c r="S36">
        <v>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EEC7-369C-2F48-9987-FCC64621282A}">
  <sheetPr>
    <outlinePr summaryBelow="0" summaryRight="0"/>
  </sheetPr>
  <dimension ref="A1:AD27"/>
  <sheetViews>
    <sheetView zoomScale="140" zoomScaleNormal="140" workbookViewId="0">
      <selection activeCell="N25" sqref="N25:P25"/>
    </sheetView>
  </sheetViews>
  <sheetFormatPr baseColWidth="10" defaultColWidth="12.6640625" defaultRowHeight="15.75" customHeight="1" x14ac:dyDescent="0.15"/>
  <cols>
    <col min="1" max="1" width="52.6640625" customWidth="1"/>
    <col min="2" max="2" width="11.83203125" customWidth="1"/>
    <col min="3" max="3" width="11.6640625" customWidth="1"/>
    <col min="4" max="4" width="15" customWidth="1"/>
    <col min="5" max="5" width="19.33203125" customWidth="1"/>
    <col min="6" max="6" width="14.6640625" customWidth="1"/>
    <col min="7" max="7" width="9" customWidth="1"/>
    <col min="8" max="8" width="9.6640625" customWidth="1"/>
    <col min="9" max="9" width="11.1640625" customWidth="1"/>
    <col min="10" max="10" width="16.83203125" customWidth="1"/>
    <col min="11" max="11" width="6.33203125" style="41" bestFit="1" customWidth="1"/>
    <col min="12" max="12" width="6.5" style="41" bestFit="1" customWidth="1"/>
    <col min="13" max="13" width="7" style="41" bestFit="1" customWidth="1"/>
    <col min="14" max="14" width="6.33203125" style="41" bestFit="1" customWidth="1"/>
    <col min="15" max="15" width="6.5" style="41" bestFit="1" customWidth="1"/>
    <col min="16" max="16" width="7" style="41" bestFit="1" customWidth="1"/>
    <col min="17" max="17" width="8.1640625" style="41" customWidth="1"/>
    <col min="18" max="18" width="9.5" customWidth="1"/>
    <col min="19" max="19" width="10.1640625" customWidth="1"/>
    <col min="20" max="20" width="5.6640625" customWidth="1"/>
    <col min="21" max="21" width="5.33203125" customWidth="1"/>
    <col min="22" max="22" width="6.33203125" customWidth="1"/>
    <col min="23" max="23" width="6.83203125" customWidth="1"/>
    <col min="24" max="24" width="8.6640625" customWidth="1"/>
    <col min="25" max="27" width="7" customWidth="1"/>
    <col min="28" max="28" width="9.83203125" customWidth="1"/>
    <col min="29" max="29" width="11.6640625" customWidth="1"/>
  </cols>
  <sheetData>
    <row r="1" spans="1:30" ht="31" customHeight="1" thickBot="1" x14ac:dyDescent="0.2">
      <c r="B1" s="744" t="s">
        <v>384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6"/>
      <c r="T1" s="744" t="s">
        <v>378</v>
      </c>
      <c r="U1" s="745"/>
      <c r="V1" s="745"/>
      <c r="W1" s="745"/>
      <c r="X1" s="745"/>
      <c r="Y1" s="744" t="s">
        <v>399</v>
      </c>
      <c r="Z1" s="689"/>
      <c r="AA1" s="690"/>
      <c r="AB1" s="691" t="s">
        <v>385</v>
      </c>
      <c r="AC1" s="691" t="s">
        <v>393</v>
      </c>
    </row>
    <row r="2" spans="1:30" ht="15" thickBot="1" x14ac:dyDescent="0.25">
      <c r="A2" s="738" t="s">
        <v>0</v>
      </c>
      <c r="B2" s="741" t="s">
        <v>1</v>
      </c>
      <c r="C2" s="748" t="s">
        <v>485</v>
      </c>
      <c r="D2" s="103" t="s">
        <v>2</v>
      </c>
      <c r="E2" s="103" t="s">
        <v>3</v>
      </c>
      <c r="F2" s="103" t="s">
        <v>4</v>
      </c>
      <c r="G2" s="731" t="s">
        <v>5</v>
      </c>
      <c r="H2" s="732"/>
      <c r="I2" s="733"/>
      <c r="J2" s="104" t="s">
        <v>367</v>
      </c>
      <c r="K2" s="734" t="s">
        <v>420</v>
      </c>
      <c r="L2" s="735"/>
      <c r="M2" s="735"/>
      <c r="N2" s="736"/>
      <c r="O2" s="736"/>
      <c r="P2" s="736"/>
      <c r="Q2" s="737"/>
      <c r="R2" s="715" t="s">
        <v>409</v>
      </c>
      <c r="S2" s="718" t="s">
        <v>408</v>
      </c>
      <c r="T2" s="721" t="s">
        <v>381</v>
      </c>
      <c r="U2" s="722"/>
      <c r="V2" s="722"/>
      <c r="W2" s="722"/>
      <c r="X2" s="723"/>
      <c r="Y2" s="677" t="s">
        <v>400</v>
      </c>
      <c r="Z2" s="677" t="s">
        <v>401</v>
      </c>
      <c r="AA2" s="677" t="s">
        <v>402</v>
      </c>
      <c r="AB2" s="729"/>
      <c r="AC2" s="729"/>
    </row>
    <row r="3" spans="1:30" ht="14" customHeight="1" thickBot="1" x14ac:dyDescent="0.2">
      <c r="A3" s="739"/>
      <c r="B3" s="742"/>
      <c r="C3" s="687"/>
      <c r="D3" s="747" t="s">
        <v>9</v>
      </c>
      <c r="E3" s="708" t="s">
        <v>10</v>
      </c>
      <c r="F3" s="708" t="s">
        <v>11</v>
      </c>
      <c r="G3" s="710" t="s">
        <v>12</v>
      </c>
      <c r="H3" s="711"/>
      <c r="I3" s="712"/>
      <c r="J3" s="713" t="s">
        <v>13</v>
      </c>
      <c r="K3" s="698" t="s">
        <v>421</v>
      </c>
      <c r="L3" s="699"/>
      <c r="M3" s="699"/>
      <c r="N3" s="698" t="s">
        <v>422</v>
      </c>
      <c r="O3" s="699"/>
      <c r="P3" s="700"/>
      <c r="Q3" s="701" t="s">
        <v>483</v>
      </c>
      <c r="R3" s="716"/>
      <c r="S3" s="719"/>
      <c r="T3" s="703" t="s">
        <v>380</v>
      </c>
      <c r="U3" s="700"/>
      <c r="V3" s="703" t="s">
        <v>379</v>
      </c>
      <c r="W3" s="700"/>
      <c r="X3" s="704" t="s">
        <v>382</v>
      </c>
      <c r="Y3" s="724"/>
      <c r="Z3" s="724"/>
      <c r="AA3" s="724"/>
      <c r="AB3" s="729"/>
      <c r="AC3" s="729"/>
    </row>
    <row r="4" spans="1:30" ht="14" thickBot="1" x14ac:dyDescent="0.2">
      <c r="A4" s="740"/>
      <c r="B4" s="743"/>
      <c r="C4" s="749"/>
      <c r="D4" s="709"/>
      <c r="E4" s="709"/>
      <c r="F4" s="709"/>
      <c r="G4" s="86" t="s">
        <v>368</v>
      </c>
      <c r="H4" s="88" t="s">
        <v>369</v>
      </c>
      <c r="I4" s="88" t="s">
        <v>370</v>
      </c>
      <c r="J4" s="714"/>
      <c r="K4" s="86" t="s">
        <v>345</v>
      </c>
      <c r="L4" s="87" t="s">
        <v>344</v>
      </c>
      <c r="M4" s="88" t="s">
        <v>346</v>
      </c>
      <c r="N4" s="86" t="s">
        <v>345</v>
      </c>
      <c r="O4" s="87" t="s">
        <v>344</v>
      </c>
      <c r="P4" s="88" t="s">
        <v>346</v>
      </c>
      <c r="Q4" s="702"/>
      <c r="R4" s="717"/>
      <c r="S4" s="720"/>
      <c r="T4" s="78" t="s">
        <v>387</v>
      </c>
      <c r="U4" s="79" t="s">
        <v>388</v>
      </c>
      <c r="V4" s="76" t="s">
        <v>387</v>
      </c>
      <c r="W4" s="77" t="s">
        <v>388</v>
      </c>
      <c r="X4" s="705"/>
      <c r="Y4" s="725"/>
      <c r="Z4" s="725"/>
      <c r="AA4" s="725"/>
      <c r="AB4" s="730"/>
      <c r="AC4" s="730"/>
    </row>
    <row r="5" spans="1:30" ht="14" x14ac:dyDescent="0.2">
      <c r="A5" s="49" t="s">
        <v>374</v>
      </c>
      <c r="B5" s="66" t="s">
        <v>359</v>
      </c>
      <c r="C5" s="125"/>
      <c r="D5" s="81">
        <v>91.5</v>
      </c>
      <c r="E5" s="119">
        <v>83.2</v>
      </c>
      <c r="F5" s="119">
        <v>74.5</v>
      </c>
      <c r="G5" s="255">
        <v>33.9</v>
      </c>
      <c r="H5" s="257">
        <v>35.700000000000003</v>
      </c>
      <c r="I5" s="371">
        <v>34.9</v>
      </c>
      <c r="J5" s="372">
        <v>89</v>
      </c>
      <c r="K5" s="259">
        <v>37</v>
      </c>
      <c r="L5" s="256">
        <v>86</v>
      </c>
      <c r="M5" s="260">
        <v>61.5</v>
      </c>
      <c r="N5" s="261">
        <v>21.1</v>
      </c>
      <c r="O5" s="371">
        <v>26.3</v>
      </c>
      <c r="P5" s="363">
        <v>23.7</v>
      </c>
      <c r="Q5" s="261">
        <f>AVERAGE(M5,P5)</f>
        <v>42.6</v>
      </c>
      <c r="R5" s="373">
        <f>AVERAGE(D5,E5,F5,G5,J5,Q5)</f>
        <v>69.11666666666666</v>
      </c>
      <c r="S5" s="374">
        <f>AVERAGE(Q5,J5,I5,F5,E5,D5)</f>
        <v>69.283333333333331</v>
      </c>
      <c r="T5" s="261">
        <v>29</v>
      </c>
      <c r="U5" s="375">
        <v>58.9</v>
      </c>
      <c r="V5" s="375">
        <v>56.3</v>
      </c>
      <c r="W5" s="375">
        <v>71.8</v>
      </c>
      <c r="X5" s="332">
        <f t="shared" ref="X5" si="0">AVERAGE(T5:V5)</f>
        <v>48.066666666666663</v>
      </c>
      <c r="Y5" s="140">
        <v>93.9</v>
      </c>
      <c r="Z5" s="196">
        <v>90.3</v>
      </c>
      <c r="AA5" s="142">
        <f t="shared" ref="AA5" si="1">AVERAGE(Y5,Z5)</f>
        <v>92.1</v>
      </c>
      <c r="AB5" s="143">
        <f>AVERAGE(X5,S5,AA5)</f>
        <v>69.816666666666663</v>
      </c>
      <c r="AC5" s="197">
        <f>AVERAGE(D5,E5,F5,G5,J5,Q5,T5,V5,Y5,Z5)</f>
        <v>68.419999999999987</v>
      </c>
    </row>
    <row r="6" spans="1:30" ht="14" x14ac:dyDescent="0.2">
      <c r="A6" s="49" t="s">
        <v>424</v>
      </c>
      <c r="B6" s="66" t="s">
        <v>360</v>
      </c>
      <c r="C6" s="66"/>
      <c r="D6" s="66">
        <v>88.8</v>
      </c>
      <c r="E6" s="120">
        <v>74.8</v>
      </c>
      <c r="F6" s="120">
        <v>74.099999999999994</v>
      </c>
      <c r="G6" s="365">
        <v>33.799999999999997</v>
      </c>
      <c r="H6" s="366">
        <v>36.6</v>
      </c>
      <c r="I6" s="367">
        <v>35.4</v>
      </c>
      <c r="J6" s="368">
        <v>83.5</v>
      </c>
      <c r="K6" s="320">
        <v>36</v>
      </c>
      <c r="L6" s="366">
        <v>77</v>
      </c>
      <c r="M6" s="369">
        <v>74.8</v>
      </c>
      <c r="N6" s="234">
        <v>17.3</v>
      </c>
      <c r="O6" s="150">
        <v>20.3</v>
      </c>
      <c r="P6" s="142">
        <v>18.8</v>
      </c>
      <c r="Q6" s="66">
        <f>AVERAGE(M6,P6)</f>
        <v>46.8</v>
      </c>
      <c r="R6" s="225">
        <f>AVERAGE(D6,E6,F6,G6,J6,Q6)</f>
        <v>66.966666666666669</v>
      </c>
      <c r="S6" s="139">
        <f>AVERAGE(Q6,J6,I6,F6,E6,D6)</f>
        <v>67.233333333333334</v>
      </c>
      <c r="T6" s="393">
        <v>34.6</v>
      </c>
      <c r="U6" s="393">
        <v>63.2</v>
      </c>
      <c r="V6" s="393">
        <v>58.9</v>
      </c>
      <c r="W6" s="389">
        <v>73.8</v>
      </c>
      <c r="X6" s="370">
        <f t="shared" ref="X6" si="2">AVERAGE(T6:V6)</f>
        <v>52.233333333333341</v>
      </c>
      <c r="Y6" s="97">
        <v>94.2</v>
      </c>
      <c r="Z6" s="95">
        <v>89.4</v>
      </c>
      <c r="AA6" s="99">
        <f t="shared" ref="AA6" si="3">AVERAGE(Y6,Z6)</f>
        <v>91.800000000000011</v>
      </c>
      <c r="AB6" s="110">
        <f>AVERAGE(X6,S6,AA6)</f>
        <v>70.422222222222231</v>
      </c>
      <c r="AC6" s="144">
        <f>AVERAGE(D6,E6,F6,G6,J6,Q6,T6,V6,Y6,Z6)</f>
        <v>67.89</v>
      </c>
    </row>
    <row r="7" spans="1:30" ht="14" x14ac:dyDescent="0.2">
      <c r="A7" s="47" t="s">
        <v>482</v>
      </c>
      <c r="B7" s="66" t="s">
        <v>359</v>
      </c>
      <c r="C7" s="66"/>
      <c r="D7" s="385">
        <v>91.5</v>
      </c>
      <c r="E7" s="127">
        <v>74.400000000000006</v>
      </c>
      <c r="F7" s="127">
        <v>72.400000000000006</v>
      </c>
      <c r="G7" s="37">
        <v>35.700000000000003</v>
      </c>
      <c r="H7" s="44">
        <v>35.700000000000003</v>
      </c>
      <c r="I7" s="211">
        <v>35.700000000000003</v>
      </c>
      <c r="J7" s="167">
        <v>85.9</v>
      </c>
      <c r="K7" s="160">
        <v>49</v>
      </c>
      <c r="L7" s="38">
        <v>86</v>
      </c>
      <c r="M7" s="223">
        <v>67.5</v>
      </c>
      <c r="N7" s="60">
        <v>30.1</v>
      </c>
      <c r="O7" s="208">
        <v>33.799999999999997</v>
      </c>
      <c r="P7" s="364">
        <v>32</v>
      </c>
      <c r="Q7" s="60">
        <f t="shared" ref="Q7:Q26" si="4">AVERAGE(M7,P7)</f>
        <v>49.75</v>
      </c>
      <c r="R7" s="120">
        <f t="shared" ref="R7:R26" si="5">AVERAGE(D7,E7,F7,G7,J7,Q7)</f>
        <v>68.274999999999991</v>
      </c>
      <c r="S7" s="139">
        <f t="shared" ref="S7:S26" si="6">AVERAGE(Q7,J7,I7,F7,E7,D7)</f>
        <v>68.275000000000006</v>
      </c>
      <c r="T7" s="37">
        <v>28.5</v>
      </c>
      <c r="U7" s="275">
        <v>56.7</v>
      </c>
      <c r="V7" s="274">
        <v>55.9</v>
      </c>
      <c r="W7" s="271">
        <v>71.8</v>
      </c>
      <c r="X7" s="61">
        <f t="shared" ref="X7:X26" si="7">AVERAGE(T7:V7)</f>
        <v>47.033333333333331</v>
      </c>
      <c r="Y7" s="96">
        <v>94.3</v>
      </c>
      <c r="Z7" s="94">
        <v>90.3</v>
      </c>
      <c r="AA7" s="98">
        <f t="shared" ref="AA7:AA22" si="8">AVERAGE(Y7,Z7)</f>
        <v>92.3</v>
      </c>
      <c r="AB7" s="143">
        <f t="shared" ref="AB7:AB26" si="9">AVERAGE(X7,S7,AA7)</f>
        <v>69.202777777777783</v>
      </c>
      <c r="AC7" s="144">
        <f t="shared" ref="AC7:AC26" si="10">AVERAGE(D7,E7,F7,G7,J7,Q7,T7,V7,Y7,Z7)</f>
        <v>67.864999999999981</v>
      </c>
    </row>
    <row r="8" spans="1:30" ht="14" x14ac:dyDescent="0.2">
      <c r="A8" s="283" t="s">
        <v>477</v>
      </c>
      <c r="B8" s="148" t="s">
        <v>21</v>
      </c>
      <c r="C8" s="386">
        <v>57.4</v>
      </c>
      <c r="D8" s="351">
        <v>75.5</v>
      </c>
      <c r="E8" s="120">
        <v>65.8</v>
      </c>
      <c r="F8" s="251">
        <v>67.099999999999994</v>
      </c>
      <c r="G8" s="353">
        <v>61.1</v>
      </c>
      <c r="H8" s="392">
        <v>63.6</v>
      </c>
      <c r="I8" s="60">
        <v>62.5</v>
      </c>
      <c r="J8" s="252">
        <v>77.8</v>
      </c>
      <c r="K8" s="34">
        <v>16</v>
      </c>
      <c r="L8" s="35">
        <v>85</v>
      </c>
      <c r="M8" s="64">
        <v>50.5</v>
      </c>
      <c r="N8" s="61">
        <v>2.2999999999999998</v>
      </c>
      <c r="O8" s="43">
        <v>4.5</v>
      </c>
      <c r="P8" s="316">
        <v>3.4</v>
      </c>
      <c r="Q8" s="61">
        <f t="shared" si="4"/>
        <v>26.95</v>
      </c>
      <c r="R8" s="120">
        <f t="shared" si="5"/>
        <v>62.375</v>
      </c>
      <c r="S8" s="139">
        <f t="shared" si="6"/>
        <v>62.608333333333327</v>
      </c>
      <c r="T8" s="61">
        <v>26.4</v>
      </c>
      <c r="U8" s="38">
        <v>52.5</v>
      </c>
      <c r="V8" s="38">
        <v>48.9</v>
      </c>
      <c r="W8" s="390">
        <v>67.3</v>
      </c>
      <c r="X8" s="61">
        <f>AVERAGE(T8:V8)</f>
        <v>42.6</v>
      </c>
      <c r="Y8" s="136">
        <v>92.2</v>
      </c>
      <c r="Z8" s="137">
        <v>87.4</v>
      </c>
      <c r="AA8" s="99">
        <f>AVERAGE(Y8,Z8)</f>
        <v>89.800000000000011</v>
      </c>
      <c r="AB8" s="143">
        <f t="shared" si="9"/>
        <v>65.00277777777778</v>
      </c>
      <c r="AC8" s="144">
        <f t="shared" si="10"/>
        <v>62.914999999999999</v>
      </c>
    </row>
    <row r="9" spans="1:30" ht="14" x14ac:dyDescent="0.2">
      <c r="A9" s="47" t="s">
        <v>425</v>
      </c>
      <c r="B9" s="145" t="s">
        <v>360</v>
      </c>
      <c r="C9" s="386"/>
      <c r="D9" s="284">
        <v>86.6</v>
      </c>
      <c r="E9" s="127">
        <v>56.4</v>
      </c>
      <c r="F9" s="162">
        <v>70.400000000000006</v>
      </c>
      <c r="G9" s="124">
        <v>22.7</v>
      </c>
      <c r="H9" s="40">
        <v>22.7</v>
      </c>
      <c r="I9" s="43">
        <v>22.7</v>
      </c>
      <c r="J9" s="168">
        <v>83.7</v>
      </c>
      <c r="K9" s="37">
        <v>31</v>
      </c>
      <c r="L9" s="38">
        <v>88</v>
      </c>
      <c r="M9" s="117">
        <v>59.5</v>
      </c>
      <c r="N9" s="61">
        <v>7.5</v>
      </c>
      <c r="O9" s="44">
        <v>9.8000000000000007</v>
      </c>
      <c r="P9" s="316">
        <v>8.6999999999999993</v>
      </c>
      <c r="Q9" s="61">
        <f t="shared" si="4"/>
        <v>34.1</v>
      </c>
      <c r="R9" s="120">
        <f t="shared" si="5"/>
        <v>58.983333333333341</v>
      </c>
      <c r="S9" s="139">
        <f t="shared" si="6"/>
        <v>58.983333333333327</v>
      </c>
      <c r="T9" s="61">
        <v>28.3</v>
      </c>
      <c r="U9" s="38">
        <v>57.2</v>
      </c>
      <c r="V9" s="38">
        <v>56.1</v>
      </c>
      <c r="W9" s="390">
        <v>73.2</v>
      </c>
      <c r="X9" s="61">
        <f t="shared" si="7"/>
        <v>47.199999999999996</v>
      </c>
      <c r="Y9" s="97">
        <v>94.1</v>
      </c>
      <c r="Z9" s="95">
        <v>89.3</v>
      </c>
      <c r="AA9" s="388">
        <f t="shared" si="8"/>
        <v>91.699999999999989</v>
      </c>
      <c r="AB9" s="143">
        <f t="shared" si="9"/>
        <v>65.961111111111109</v>
      </c>
      <c r="AC9" s="144">
        <f t="shared" si="10"/>
        <v>62.17</v>
      </c>
    </row>
    <row r="10" spans="1:30" ht="14" x14ac:dyDescent="0.2">
      <c r="A10" s="47" t="s">
        <v>423</v>
      </c>
      <c r="B10" s="145" t="s">
        <v>360</v>
      </c>
      <c r="C10" s="386"/>
      <c r="D10" s="284">
        <v>85.7</v>
      </c>
      <c r="E10" s="127">
        <v>57.8</v>
      </c>
      <c r="F10" s="162">
        <v>69.3</v>
      </c>
      <c r="G10" s="124">
        <v>21.6</v>
      </c>
      <c r="H10" s="40">
        <v>22.8</v>
      </c>
      <c r="I10" s="61">
        <v>22.3</v>
      </c>
      <c r="J10" s="168">
        <v>82.7</v>
      </c>
      <c r="K10" s="37">
        <v>32</v>
      </c>
      <c r="L10" s="38">
        <v>88</v>
      </c>
      <c r="M10" s="117">
        <v>60</v>
      </c>
      <c r="N10" s="61">
        <v>7.5</v>
      </c>
      <c r="O10" s="44">
        <v>10.5</v>
      </c>
      <c r="P10" s="316">
        <v>9</v>
      </c>
      <c r="Q10" s="61">
        <f t="shared" si="4"/>
        <v>34.5</v>
      </c>
      <c r="R10" s="120">
        <f t="shared" si="5"/>
        <v>58.6</v>
      </c>
      <c r="S10" s="139">
        <f t="shared" si="6"/>
        <v>58.716666666666669</v>
      </c>
      <c r="T10" s="61">
        <v>27.7</v>
      </c>
      <c r="U10" s="38">
        <v>56.8</v>
      </c>
      <c r="V10" s="38">
        <v>56.6</v>
      </c>
      <c r="W10" s="390">
        <v>73.900000000000006</v>
      </c>
      <c r="X10" s="61">
        <f t="shared" si="7"/>
        <v>47.033333333333331</v>
      </c>
      <c r="Y10" s="97">
        <v>94</v>
      </c>
      <c r="Z10" s="95">
        <v>89.3</v>
      </c>
      <c r="AA10" s="388">
        <f t="shared" si="8"/>
        <v>91.65</v>
      </c>
      <c r="AB10" s="143">
        <f t="shared" si="9"/>
        <v>65.8</v>
      </c>
      <c r="AC10" s="144">
        <f t="shared" si="10"/>
        <v>61.92</v>
      </c>
    </row>
    <row r="11" spans="1:30" ht="14" x14ac:dyDescent="0.2">
      <c r="A11" s="283" t="s">
        <v>486</v>
      </c>
      <c r="B11" s="148" t="s">
        <v>21</v>
      </c>
      <c r="C11" s="313">
        <v>52.98</v>
      </c>
      <c r="D11" s="66">
        <v>74.5</v>
      </c>
      <c r="E11" s="202">
        <v>58.6</v>
      </c>
      <c r="F11" s="167">
        <v>68.5</v>
      </c>
      <c r="G11" s="34">
        <v>48.7</v>
      </c>
      <c r="H11" s="38">
        <v>51</v>
      </c>
      <c r="I11" s="61">
        <v>50.1</v>
      </c>
      <c r="J11" s="376">
        <v>85</v>
      </c>
      <c r="K11" s="203">
        <v>14</v>
      </c>
      <c r="L11" s="145">
        <v>80</v>
      </c>
      <c r="M11" s="117">
        <v>47</v>
      </c>
      <c r="N11" s="275">
        <v>2.2999999999999998</v>
      </c>
      <c r="O11" s="204">
        <v>7.5</v>
      </c>
      <c r="P11" s="66">
        <v>4.9000000000000004</v>
      </c>
      <c r="Q11" s="61">
        <f t="shared" ref="Q11" si="11">AVERAGE(M11,P11)</f>
        <v>25.95</v>
      </c>
      <c r="R11" s="120">
        <f t="shared" ref="R11" si="12">AVERAGE(D11,E11,F11,G11,J11,Q11)</f>
        <v>60.208333333333336</v>
      </c>
      <c r="S11" s="193">
        <f t="shared" ref="S11" si="13">AVERAGE(Q11,J11,I11,F11,E11,D11)</f>
        <v>60.44166666666667</v>
      </c>
      <c r="T11" s="275">
        <v>22.5</v>
      </c>
      <c r="U11" s="37">
        <v>53</v>
      </c>
      <c r="V11" s="38">
        <v>47.9</v>
      </c>
      <c r="W11" s="271">
        <v>68.099999999999994</v>
      </c>
      <c r="X11" s="146">
        <f t="shared" ref="X11:X16" si="14">AVERAGE(T11:V11)</f>
        <v>41.133333333333333</v>
      </c>
      <c r="Y11" s="387">
        <v>91</v>
      </c>
      <c r="Z11" s="95">
        <v>86.2</v>
      </c>
      <c r="AA11" s="361">
        <f>AVERAGE(Y11,Z11)</f>
        <v>88.6</v>
      </c>
      <c r="AB11" s="109">
        <f>AVERAGE(X11,S11,AA11)</f>
        <v>63.391666666666673</v>
      </c>
      <c r="AC11" s="144">
        <f t="shared" ref="AC11" si="15">AVERAGE(D11,E11,F11,G11,J11,Q11,T11,V11,Y11,Z11)</f>
        <v>60.885000000000005</v>
      </c>
      <c r="AD11" s="187"/>
    </row>
    <row r="12" spans="1:30" ht="14" x14ac:dyDescent="0.2">
      <c r="A12" s="47" t="s">
        <v>460</v>
      </c>
      <c r="B12" s="61" t="s">
        <v>21</v>
      </c>
      <c r="C12" s="313">
        <v>50.2</v>
      </c>
      <c r="D12" s="128">
        <v>70.400000000000006</v>
      </c>
      <c r="E12" s="127">
        <v>61</v>
      </c>
      <c r="F12" s="127">
        <v>66.900000000000006</v>
      </c>
      <c r="G12" s="37">
        <v>56.4</v>
      </c>
      <c r="H12" s="38">
        <v>59.2</v>
      </c>
      <c r="I12" s="61">
        <v>58</v>
      </c>
      <c r="J12" s="167">
        <v>83.1</v>
      </c>
      <c r="K12" s="37">
        <v>14</v>
      </c>
      <c r="L12" s="38">
        <v>86</v>
      </c>
      <c r="M12" s="117">
        <v>50</v>
      </c>
      <c r="N12" s="61">
        <v>2.2999999999999998</v>
      </c>
      <c r="O12" s="43">
        <v>4.5</v>
      </c>
      <c r="P12" s="316">
        <v>3.4</v>
      </c>
      <c r="Q12" s="61">
        <f t="shared" si="4"/>
        <v>26.7</v>
      </c>
      <c r="R12" s="120">
        <f t="shared" si="5"/>
        <v>60.75</v>
      </c>
      <c r="S12" s="139">
        <f t="shared" si="6"/>
        <v>61.016666666666673</v>
      </c>
      <c r="T12" s="61">
        <v>23.5</v>
      </c>
      <c r="U12" s="38">
        <v>47.8</v>
      </c>
      <c r="V12" s="38">
        <v>35.5</v>
      </c>
      <c r="W12" s="271">
        <v>59.4</v>
      </c>
      <c r="X12" s="61">
        <f t="shared" si="14"/>
        <v>35.6</v>
      </c>
      <c r="Y12" s="97">
        <v>88.8</v>
      </c>
      <c r="Z12" s="95">
        <v>84</v>
      </c>
      <c r="AA12" s="99">
        <f t="shared" si="8"/>
        <v>86.4</v>
      </c>
      <c r="AB12" s="143">
        <f>AVERAGE(X12,S12,AA12)</f>
        <v>61.00555555555556</v>
      </c>
      <c r="AC12" s="144">
        <f t="shared" si="10"/>
        <v>59.629999999999995</v>
      </c>
    </row>
    <row r="13" spans="1:30" ht="14" hidden="1" x14ac:dyDescent="0.2">
      <c r="A13" s="283" t="s">
        <v>484</v>
      </c>
      <c r="B13" s="148" t="s">
        <v>21</v>
      </c>
      <c r="C13" s="313"/>
      <c r="D13" s="351">
        <v>63.3</v>
      </c>
      <c r="E13" s="120">
        <v>52.8</v>
      </c>
      <c r="F13" s="120">
        <v>63</v>
      </c>
      <c r="G13" s="356">
        <v>48.9</v>
      </c>
      <c r="H13" s="352">
        <v>52.4</v>
      </c>
      <c r="I13" s="61">
        <v>50.9</v>
      </c>
      <c r="J13" s="252">
        <v>83.6</v>
      </c>
      <c r="K13" s="61">
        <v>16</v>
      </c>
      <c r="L13" s="35">
        <v>82</v>
      </c>
      <c r="M13" s="64">
        <v>49</v>
      </c>
      <c r="N13" s="61">
        <v>6</v>
      </c>
      <c r="O13" s="43">
        <v>19.600000000000001</v>
      </c>
      <c r="P13" s="316">
        <v>12.8</v>
      </c>
      <c r="Q13" s="61">
        <f>AVERAGE(M13,P13)</f>
        <v>30.9</v>
      </c>
      <c r="R13" s="120">
        <f t="shared" ref="R13" si="16">AVERAGE(D13,E13,F13,G13,J13,Q13)</f>
        <v>57.083333333333336</v>
      </c>
      <c r="S13" s="139">
        <f t="shared" ref="S13" si="17">AVERAGE(Q13,J13,I13,F13,E13,D13)</f>
        <v>57.416666666666664</v>
      </c>
      <c r="T13" s="61">
        <v>21.5</v>
      </c>
      <c r="U13" s="38">
        <v>52.3</v>
      </c>
      <c r="V13" s="38">
        <v>48.4</v>
      </c>
      <c r="W13" s="390">
        <v>68.5</v>
      </c>
      <c r="X13" s="61">
        <f t="shared" si="14"/>
        <v>40.733333333333327</v>
      </c>
      <c r="Y13" s="355">
        <v>91.2</v>
      </c>
      <c r="Z13" s="95">
        <v>86.4</v>
      </c>
      <c r="AA13" s="361">
        <f>AVERAGE(Y13,Z13)</f>
        <v>88.800000000000011</v>
      </c>
      <c r="AB13" s="143">
        <f>AVERAGE(X13,S13,AA13)</f>
        <v>62.316666666666663</v>
      </c>
      <c r="AC13" s="144">
        <f>AVERAGE(D13,E13,F13,G13,J13,Q13,T13,V13,Y13,Z13)</f>
        <v>59</v>
      </c>
    </row>
    <row r="14" spans="1:30" ht="14" hidden="1" x14ac:dyDescent="0.2">
      <c r="A14" s="283" t="s">
        <v>480</v>
      </c>
      <c r="B14" s="376" t="s">
        <v>21</v>
      </c>
      <c r="C14" s="313"/>
      <c r="D14" s="66">
        <v>67.400000000000006</v>
      </c>
      <c r="E14" s="120">
        <v>54.4</v>
      </c>
      <c r="F14" s="120">
        <v>68.900000000000006</v>
      </c>
      <c r="G14" s="34">
        <v>53.7</v>
      </c>
      <c r="H14" s="35">
        <v>56.2</v>
      </c>
      <c r="I14" s="61">
        <v>55.2</v>
      </c>
      <c r="J14" s="165">
        <v>81.400000000000006</v>
      </c>
      <c r="K14" s="61">
        <v>21</v>
      </c>
      <c r="L14" s="35">
        <v>80</v>
      </c>
      <c r="M14" s="64">
        <v>50.5</v>
      </c>
      <c r="N14" s="61">
        <v>6.8</v>
      </c>
      <c r="O14" s="43">
        <v>17.3</v>
      </c>
      <c r="P14" s="316">
        <v>12</v>
      </c>
      <c r="Q14" s="61">
        <f t="shared" si="4"/>
        <v>31.25</v>
      </c>
      <c r="R14" s="120">
        <f t="shared" si="5"/>
        <v>59.508333333333347</v>
      </c>
      <c r="S14" s="139">
        <f t="shared" si="6"/>
        <v>59.758333333333347</v>
      </c>
      <c r="T14" s="61">
        <v>10.5</v>
      </c>
      <c r="U14" s="38">
        <v>45.3</v>
      </c>
      <c r="V14" s="38">
        <v>42.4</v>
      </c>
      <c r="W14" s="390">
        <v>64.099999999999994</v>
      </c>
      <c r="X14" s="61">
        <f t="shared" si="14"/>
        <v>32.733333333333327</v>
      </c>
      <c r="Y14" s="357">
        <v>91.9</v>
      </c>
      <c r="Z14" s="113">
        <v>86.9</v>
      </c>
      <c r="AA14" s="92">
        <f>AVERAGE(Y14,Z14)</f>
        <v>89.4</v>
      </c>
      <c r="AB14" s="317">
        <f>AVERAGE(X14,S14,AA14)</f>
        <v>60.63055555555556</v>
      </c>
      <c r="AC14" s="144">
        <f t="shared" si="10"/>
        <v>58.875</v>
      </c>
    </row>
    <row r="15" spans="1:30" ht="14" hidden="1" x14ac:dyDescent="0.2">
      <c r="A15" s="283" t="s">
        <v>481</v>
      </c>
      <c r="B15" s="148" t="s">
        <v>21</v>
      </c>
      <c r="C15" s="313"/>
      <c r="D15" s="66">
        <v>66.3</v>
      </c>
      <c r="E15" s="120">
        <v>56.4</v>
      </c>
      <c r="F15" s="120">
        <v>68.3</v>
      </c>
      <c r="G15" s="34">
        <v>48</v>
      </c>
      <c r="H15" s="35">
        <v>51.4</v>
      </c>
      <c r="I15" s="61">
        <v>50</v>
      </c>
      <c r="J15" s="165">
        <v>79.400000000000006</v>
      </c>
      <c r="K15" s="61">
        <v>15</v>
      </c>
      <c r="L15" s="35">
        <v>79</v>
      </c>
      <c r="M15" s="64">
        <v>47</v>
      </c>
      <c r="N15" s="61">
        <v>10.5</v>
      </c>
      <c r="O15" s="43">
        <v>28.6</v>
      </c>
      <c r="P15" s="316">
        <v>19.600000000000001</v>
      </c>
      <c r="Q15" s="61">
        <f>AVERAGE(M15,P15)</f>
        <v>33.299999999999997</v>
      </c>
      <c r="R15" s="120">
        <f>AVERAGE(D15,E15,F15,G15,J15,Q15)</f>
        <v>58.616666666666667</v>
      </c>
      <c r="S15" s="139">
        <f>AVERAGE(Q15,J15,I15,F15,E15,D15)</f>
        <v>58.949999999999996</v>
      </c>
      <c r="T15" s="61">
        <v>12</v>
      </c>
      <c r="U15" s="38">
        <v>45.5</v>
      </c>
      <c r="V15" s="38">
        <v>42.9</v>
      </c>
      <c r="W15" s="390">
        <v>64.7</v>
      </c>
      <c r="X15" s="61">
        <f t="shared" si="14"/>
        <v>33.466666666666669</v>
      </c>
      <c r="Y15" s="357">
        <v>90.9</v>
      </c>
      <c r="Z15" s="137">
        <v>86.2</v>
      </c>
      <c r="AA15" s="92">
        <f>AVERAGE(Y15,Z15)</f>
        <v>88.550000000000011</v>
      </c>
      <c r="AB15" s="308">
        <f t="shared" ref="AB15" si="18">AVERAGE(X15,S15,AA15)</f>
        <v>60.322222222222223</v>
      </c>
      <c r="AC15" s="144">
        <f>AVERAGE(D15,E15,F15,G15,J15,Q15,T15,V15,Y15,Z15)</f>
        <v>58.370000000000005</v>
      </c>
    </row>
    <row r="16" spans="1:30" ht="14" hidden="1" x14ac:dyDescent="0.2">
      <c r="A16" s="283" t="s">
        <v>479</v>
      </c>
      <c r="B16" s="148" t="s">
        <v>21</v>
      </c>
      <c r="C16" s="313"/>
      <c r="D16" s="66">
        <v>61.1</v>
      </c>
      <c r="E16" s="120">
        <v>54.8</v>
      </c>
      <c r="F16" s="120">
        <v>67.3</v>
      </c>
      <c r="G16" s="34">
        <v>48.3</v>
      </c>
      <c r="H16" s="35">
        <v>52.2</v>
      </c>
      <c r="I16" s="61">
        <v>50.6</v>
      </c>
      <c r="J16" s="165">
        <v>84.2</v>
      </c>
      <c r="K16" s="34">
        <v>12</v>
      </c>
      <c r="L16" s="35">
        <v>79</v>
      </c>
      <c r="M16" s="64">
        <v>45.5</v>
      </c>
      <c r="N16" s="61">
        <v>14.3</v>
      </c>
      <c r="O16" s="54">
        <v>54.1</v>
      </c>
      <c r="P16" s="364">
        <v>34.200000000000003</v>
      </c>
      <c r="Q16" s="61">
        <f>AVERAGE(M16,P16)</f>
        <v>39.85</v>
      </c>
      <c r="R16" s="120">
        <f>AVERAGE(D16,E16,F16,G16,J16,Q16)</f>
        <v>59.258333333333333</v>
      </c>
      <c r="S16" s="139">
        <f>AVERAGE(Q16,J16,I16,F16,E16,D16)</f>
        <v>59.641666666666673</v>
      </c>
      <c r="T16" s="61">
        <v>20.2</v>
      </c>
      <c r="U16" s="38">
        <v>51.6</v>
      </c>
      <c r="V16" s="38">
        <v>46.9</v>
      </c>
      <c r="W16" s="390">
        <v>67.2</v>
      </c>
      <c r="X16" s="61">
        <f t="shared" si="14"/>
        <v>39.566666666666663</v>
      </c>
      <c r="Y16" s="136">
        <v>81.400000000000006</v>
      </c>
      <c r="Z16" s="137">
        <v>77</v>
      </c>
      <c r="AA16" s="99">
        <f>AVERAGE(Y16,Z16)</f>
        <v>79.2</v>
      </c>
      <c r="AB16" s="143">
        <f t="shared" ref="AB16" si="19">AVERAGE(X16,S16,AA16)</f>
        <v>59.469444444444456</v>
      </c>
      <c r="AC16" s="144">
        <f>AVERAGE(D16,E16,F16,G16,J16,Q16,T16,V16,Y16,Z16)</f>
        <v>58.104999999999997</v>
      </c>
    </row>
    <row r="17" spans="1:29" ht="14" x14ac:dyDescent="0.2">
      <c r="A17" s="47" t="s">
        <v>19</v>
      </c>
      <c r="B17" s="145" t="s">
        <v>359</v>
      </c>
      <c r="C17" s="386"/>
      <c r="D17" s="128">
        <v>79</v>
      </c>
      <c r="E17" s="127">
        <v>51.6</v>
      </c>
      <c r="F17" s="127">
        <v>65.05</v>
      </c>
      <c r="G17" s="37">
        <v>12.2</v>
      </c>
      <c r="H17" s="38">
        <v>12.7</v>
      </c>
      <c r="I17" s="61">
        <v>12.5</v>
      </c>
      <c r="J17" s="167">
        <v>78.498999999999995</v>
      </c>
      <c r="K17" s="37">
        <v>30</v>
      </c>
      <c r="L17" s="38">
        <v>87</v>
      </c>
      <c r="M17" s="117">
        <v>58.5</v>
      </c>
      <c r="N17" s="61">
        <v>4.5</v>
      </c>
      <c r="O17" s="43">
        <v>6</v>
      </c>
      <c r="P17" s="316">
        <v>5.3</v>
      </c>
      <c r="Q17" s="61">
        <f t="shared" si="4"/>
        <v>31.9</v>
      </c>
      <c r="R17" s="120">
        <f t="shared" si="5"/>
        <v>53.041499999999985</v>
      </c>
      <c r="S17" s="139">
        <f t="shared" si="6"/>
        <v>53.091499999999996</v>
      </c>
      <c r="T17" s="61">
        <v>30.3</v>
      </c>
      <c r="U17" s="38">
        <v>60.2</v>
      </c>
      <c r="V17" s="38">
        <v>48</v>
      </c>
      <c r="W17" s="271">
        <v>67.099999999999994</v>
      </c>
      <c r="X17" s="61">
        <f t="shared" si="7"/>
        <v>46.166666666666664</v>
      </c>
      <c r="Y17" s="97">
        <v>93.5</v>
      </c>
      <c r="Z17" s="95">
        <v>88.6</v>
      </c>
      <c r="AA17" s="99">
        <f t="shared" si="8"/>
        <v>91.05</v>
      </c>
      <c r="AB17" s="308">
        <f t="shared" si="9"/>
        <v>63.436055555555548</v>
      </c>
      <c r="AC17" s="144">
        <f t="shared" si="10"/>
        <v>57.864899999999992</v>
      </c>
    </row>
    <row r="18" spans="1:29" ht="14" x14ac:dyDescent="0.2">
      <c r="A18" s="283" t="s">
        <v>478</v>
      </c>
      <c r="B18" s="167" t="s">
        <v>358</v>
      </c>
      <c r="C18" s="313">
        <v>77.58</v>
      </c>
      <c r="D18" s="128">
        <v>78.7</v>
      </c>
      <c r="E18" s="127">
        <v>27.2</v>
      </c>
      <c r="F18" s="127">
        <v>61.1</v>
      </c>
      <c r="G18" s="37">
        <v>5.2</v>
      </c>
      <c r="H18" s="38">
        <v>5.4</v>
      </c>
      <c r="I18" s="61">
        <v>5.3</v>
      </c>
      <c r="J18" s="167">
        <v>81.180000000000007</v>
      </c>
      <c r="K18" s="145">
        <v>21</v>
      </c>
      <c r="L18" s="39">
        <v>94</v>
      </c>
      <c r="M18" s="117">
        <v>57.5</v>
      </c>
      <c r="N18" s="61">
        <v>0.8</v>
      </c>
      <c r="O18" s="44">
        <v>2.2999999999999998</v>
      </c>
      <c r="P18" s="316">
        <v>1.5</v>
      </c>
      <c r="Q18" s="61">
        <f t="shared" ref="Q18" si="20">AVERAGE(M18,P18)</f>
        <v>29.5</v>
      </c>
      <c r="R18" s="120">
        <f t="shared" ref="R18" si="21">AVERAGE(D18,E18,F18,G18,J18,Q18)</f>
        <v>47.146666666666668</v>
      </c>
      <c r="S18" s="139">
        <f t="shared" ref="S18" si="22">AVERAGE(Q18,J18,I18,F18,E18,D18)</f>
        <v>47.163333333333334</v>
      </c>
      <c r="T18" s="61">
        <v>31.6</v>
      </c>
      <c r="U18" s="38">
        <v>58.2</v>
      </c>
      <c r="V18" s="38">
        <v>54.5</v>
      </c>
      <c r="W18" s="271">
        <v>70.8</v>
      </c>
      <c r="X18" s="61">
        <f>AVERAGE(T18:V18)</f>
        <v>48.1</v>
      </c>
      <c r="Y18" s="358">
        <v>92.5</v>
      </c>
      <c r="Z18" s="150">
        <v>87.8</v>
      </c>
      <c r="AA18" s="61">
        <f>AVERAGE(Y18,Z18)</f>
        <v>90.15</v>
      </c>
      <c r="AB18" s="317">
        <f>AVERAGE(X18,S18,AA18)</f>
        <v>61.804444444444449</v>
      </c>
      <c r="AC18" s="144">
        <f t="shared" ref="AC18" si="23">AVERAGE(D18,E18,F18,G18,J18,Q18,T18,V18,Y18,Z18)</f>
        <v>54.927999999999997</v>
      </c>
    </row>
    <row r="19" spans="1:29" ht="14" hidden="1" x14ac:dyDescent="0.2">
      <c r="A19" s="280" t="s">
        <v>471</v>
      </c>
      <c r="B19" s="148" t="s">
        <v>21</v>
      </c>
      <c r="C19" s="313"/>
      <c r="D19" s="66">
        <v>53.8</v>
      </c>
      <c r="E19" s="120">
        <v>60</v>
      </c>
      <c r="F19" s="120">
        <v>68.400000000000006</v>
      </c>
      <c r="G19" s="34">
        <v>38.799999999999997</v>
      </c>
      <c r="H19" s="35">
        <v>47.1</v>
      </c>
      <c r="I19" s="61">
        <v>43.5</v>
      </c>
      <c r="J19" s="165">
        <v>83.6</v>
      </c>
      <c r="K19" s="61">
        <v>14</v>
      </c>
      <c r="L19" s="35">
        <v>67</v>
      </c>
      <c r="M19" s="290">
        <v>40.5</v>
      </c>
      <c r="N19" s="61">
        <v>15.8</v>
      </c>
      <c r="O19" s="43">
        <v>39.1</v>
      </c>
      <c r="P19" s="316">
        <v>27.4</v>
      </c>
      <c r="Q19" s="61">
        <f t="shared" si="4"/>
        <v>33.950000000000003</v>
      </c>
      <c r="R19" s="120">
        <f t="shared" si="5"/>
        <v>56.425000000000004</v>
      </c>
      <c r="S19" s="139">
        <f t="shared" si="6"/>
        <v>57.208333333333343</v>
      </c>
      <c r="T19" s="61">
        <v>16.100000000000001</v>
      </c>
      <c r="U19" s="38">
        <v>41.7</v>
      </c>
      <c r="V19" s="38">
        <v>27.9</v>
      </c>
      <c r="W19" s="271">
        <v>53.5</v>
      </c>
      <c r="X19" s="61">
        <f>AVERAGE(T19:V19)</f>
        <v>28.566666666666666</v>
      </c>
      <c r="Y19" s="97">
        <v>75.3</v>
      </c>
      <c r="Z19" s="95">
        <v>73.900000000000006</v>
      </c>
      <c r="AA19" s="99">
        <f t="shared" si="8"/>
        <v>74.599999999999994</v>
      </c>
      <c r="AB19" s="312">
        <f>AVERAGE(X19,S19,AA19)</f>
        <v>53.458333333333336</v>
      </c>
      <c r="AC19" s="144">
        <f t="shared" si="10"/>
        <v>53.174999999999997</v>
      </c>
    </row>
    <row r="20" spans="1:29" ht="14" hidden="1" x14ac:dyDescent="0.2">
      <c r="A20" s="280" t="s">
        <v>406</v>
      </c>
      <c r="B20" s="376" t="s">
        <v>358</v>
      </c>
      <c r="C20" s="313"/>
      <c r="D20" s="66">
        <v>77.8</v>
      </c>
      <c r="E20" s="120">
        <v>36.6</v>
      </c>
      <c r="F20" s="120">
        <v>65</v>
      </c>
      <c r="G20" s="34">
        <v>26.9</v>
      </c>
      <c r="H20" s="35">
        <v>28.2</v>
      </c>
      <c r="I20" s="61">
        <v>27.7</v>
      </c>
      <c r="J20" s="165">
        <v>65.3</v>
      </c>
      <c r="K20" s="61">
        <v>26</v>
      </c>
      <c r="L20" s="35">
        <v>87</v>
      </c>
      <c r="M20" s="290">
        <v>56.5</v>
      </c>
      <c r="N20" s="61">
        <v>3.8</v>
      </c>
      <c r="O20" s="43">
        <v>15</v>
      </c>
      <c r="P20" s="316">
        <v>9.4</v>
      </c>
      <c r="Q20" s="61">
        <f>AVERAGE(M20,P20)</f>
        <v>32.950000000000003</v>
      </c>
      <c r="R20" s="120">
        <f>AVERAGE(D20,E20,F20,G20,J20,Q20)</f>
        <v>50.758333333333333</v>
      </c>
      <c r="S20" s="139">
        <f>AVERAGE(Q20,J20,I20,F20,E20,D20)</f>
        <v>50.891666666666659</v>
      </c>
      <c r="T20" s="61">
        <v>16.8</v>
      </c>
      <c r="U20" s="35">
        <v>48.4</v>
      </c>
      <c r="V20" s="35">
        <v>38.6</v>
      </c>
      <c r="W20" s="390">
        <v>62</v>
      </c>
      <c r="X20" s="61">
        <f>AVERAGE(T20:V20)</f>
        <v>34.6</v>
      </c>
      <c r="Y20" s="315">
        <v>85.7</v>
      </c>
      <c r="Z20" s="206">
        <v>81.7</v>
      </c>
      <c r="AA20" s="316">
        <f>AVERAGE(Y20,Z20)</f>
        <v>83.7</v>
      </c>
      <c r="AB20" s="317">
        <f>AVERAGE(X20,S20,AA20)</f>
        <v>56.397222222222219</v>
      </c>
      <c r="AC20" s="144">
        <f>AVERAGE(D20,E20,F20,G20,J20,Q20,T20,V20,Y20,Z20)</f>
        <v>52.734999999999999</v>
      </c>
    </row>
    <row r="21" spans="1:29" ht="14" x14ac:dyDescent="0.2">
      <c r="A21" s="280" t="s">
        <v>464</v>
      </c>
      <c r="B21" s="148" t="s">
        <v>21</v>
      </c>
      <c r="C21" s="386">
        <v>27.66</v>
      </c>
      <c r="D21" s="128">
        <v>59.3</v>
      </c>
      <c r="E21" s="127">
        <v>60.4</v>
      </c>
      <c r="F21" s="127">
        <v>67.7</v>
      </c>
      <c r="G21" s="145">
        <v>57.9</v>
      </c>
      <c r="H21" s="38">
        <v>60</v>
      </c>
      <c r="I21" s="145">
        <v>59.1</v>
      </c>
      <c r="J21" s="167">
        <v>75.3</v>
      </c>
      <c r="K21" s="145">
        <v>7</v>
      </c>
      <c r="L21" s="38">
        <v>69</v>
      </c>
      <c r="M21" s="145">
        <v>38</v>
      </c>
      <c r="N21" s="285">
        <v>8.3000000000000007</v>
      </c>
      <c r="O21" s="44">
        <v>21.1</v>
      </c>
      <c r="P21" s="205">
        <v>14.7</v>
      </c>
      <c r="Q21" s="61">
        <f t="shared" si="4"/>
        <v>26.35</v>
      </c>
      <c r="R21" s="120">
        <f t="shared" si="5"/>
        <v>57.824999999999996</v>
      </c>
      <c r="S21" s="139">
        <f t="shared" si="6"/>
        <v>58.024999999999999</v>
      </c>
      <c r="T21" s="145">
        <v>11</v>
      </c>
      <c r="U21" s="38">
        <v>41.9</v>
      </c>
      <c r="V21" s="38">
        <v>6.3</v>
      </c>
      <c r="W21" s="271">
        <v>40.200000000000003</v>
      </c>
      <c r="X21" s="128">
        <f>AVERAGE(T21:V21)</f>
        <v>19.733333333333331</v>
      </c>
      <c r="Y21" s="285">
        <v>72.5</v>
      </c>
      <c r="Z21" s="268">
        <v>70.8</v>
      </c>
      <c r="AA21" s="145">
        <f t="shared" si="8"/>
        <v>71.650000000000006</v>
      </c>
      <c r="AB21" s="308">
        <f>AVERAGE(X21,S21,AA21)</f>
        <v>49.802777777777777</v>
      </c>
      <c r="AC21" s="144">
        <f t="shared" si="10"/>
        <v>50.755000000000003</v>
      </c>
    </row>
    <row r="22" spans="1:29" ht="14" x14ac:dyDescent="0.2">
      <c r="A22" s="283" t="s">
        <v>413</v>
      </c>
      <c r="B22" s="376" t="s">
        <v>358</v>
      </c>
      <c r="C22" s="313">
        <v>69</v>
      </c>
      <c r="D22" s="128">
        <v>52.9</v>
      </c>
      <c r="E22" s="127">
        <v>18.2</v>
      </c>
      <c r="F22" s="127">
        <v>59.5</v>
      </c>
      <c r="G22" s="37">
        <v>7.4</v>
      </c>
      <c r="H22" s="38">
        <v>7.7</v>
      </c>
      <c r="I22" s="61">
        <v>7.6</v>
      </c>
      <c r="J22" s="167">
        <v>78.8</v>
      </c>
      <c r="K22" s="37">
        <v>16</v>
      </c>
      <c r="L22" s="38">
        <v>80</v>
      </c>
      <c r="M22" s="117">
        <v>48</v>
      </c>
      <c r="N22" s="61">
        <v>1</v>
      </c>
      <c r="O22" s="44">
        <v>3</v>
      </c>
      <c r="P22" s="316">
        <v>2</v>
      </c>
      <c r="Q22" s="61">
        <f t="shared" si="4"/>
        <v>25</v>
      </c>
      <c r="R22" s="120">
        <f t="shared" si="5"/>
        <v>40.300000000000004</v>
      </c>
      <c r="S22" s="139">
        <f t="shared" si="6"/>
        <v>40.333333333333329</v>
      </c>
      <c r="T22" s="61">
        <v>24.1</v>
      </c>
      <c r="U22" s="38">
        <v>53.8</v>
      </c>
      <c r="V22" s="38">
        <v>49.9</v>
      </c>
      <c r="W22" s="271">
        <v>69.099999999999994</v>
      </c>
      <c r="X22" s="61">
        <f t="shared" si="7"/>
        <v>42.6</v>
      </c>
      <c r="Y22" s="97">
        <v>92.6</v>
      </c>
      <c r="Z22" s="95">
        <v>87.7</v>
      </c>
      <c r="AA22" s="99">
        <f t="shared" si="8"/>
        <v>90.15</v>
      </c>
      <c r="AB22" s="308">
        <f t="shared" si="9"/>
        <v>57.69444444444445</v>
      </c>
      <c r="AC22" s="144">
        <f t="shared" si="10"/>
        <v>49.61</v>
      </c>
    </row>
    <row r="23" spans="1:29" ht="14" hidden="1" x14ac:dyDescent="0.2">
      <c r="A23" s="280" t="s">
        <v>472</v>
      </c>
      <c r="B23" s="167" t="s">
        <v>358</v>
      </c>
      <c r="C23" s="66"/>
      <c r="D23" s="66">
        <v>39.4</v>
      </c>
      <c r="E23" s="120">
        <v>32.6</v>
      </c>
      <c r="F23" s="120">
        <v>57.6</v>
      </c>
      <c r="G23" s="34">
        <v>7.6</v>
      </c>
      <c r="H23" s="35">
        <v>7.7</v>
      </c>
      <c r="I23" s="61">
        <v>7.7</v>
      </c>
      <c r="J23" s="165">
        <v>73.3</v>
      </c>
      <c r="K23" s="61">
        <v>10</v>
      </c>
      <c r="L23" s="35">
        <v>40</v>
      </c>
      <c r="M23" s="290">
        <v>25</v>
      </c>
      <c r="N23" s="61">
        <v>3</v>
      </c>
      <c r="O23" s="43">
        <v>13.5</v>
      </c>
      <c r="P23" s="316">
        <v>8.3000000000000007</v>
      </c>
      <c r="Q23" s="61">
        <f t="shared" ref="Q23" si="24">AVERAGE(M23,P23)</f>
        <v>16.649999999999999</v>
      </c>
      <c r="R23" s="120">
        <f t="shared" ref="R23" si="25">AVERAGE(D23,E23,F23,G23,J23,Q23)</f>
        <v>37.858333333333334</v>
      </c>
      <c r="S23" s="139">
        <f t="shared" ref="S23" si="26">AVERAGE(Q23,J23,I23,F23,E23,D23)</f>
        <v>37.875</v>
      </c>
      <c r="T23" s="61">
        <v>23</v>
      </c>
      <c r="U23" s="38">
        <v>53.7</v>
      </c>
      <c r="V23" s="38">
        <v>49.2</v>
      </c>
      <c r="W23" s="271">
        <v>69.8</v>
      </c>
      <c r="X23" s="61">
        <f>AVERAGE(T23:V23)</f>
        <v>41.966666666666669</v>
      </c>
      <c r="Y23" s="112">
        <v>91.4</v>
      </c>
      <c r="Z23" s="113">
        <v>87</v>
      </c>
      <c r="AA23" s="114">
        <f>AVERAGE(Y23,Z23)</f>
        <v>89.2</v>
      </c>
      <c r="AB23" s="317">
        <f>AVERAGE(X23,S23,AA23)</f>
        <v>56.347222222222229</v>
      </c>
      <c r="AC23" s="144">
        <f t="shared" ref="AC23" si="27">AVERAGE(D23,E23,F23,G23,J23,Q23,T23,V23,Y23,Z23)</f>
        <v>47.774999999999999</v>
      </c>
    </row>
    <row r="24" spans="1:29" ht="14" hidden="1" x14ac:dyDescent="0.2">
      <c r="A24" s="116" t="s">
        <v>469</v>
      </c>
      <c r="B24" s="167" t="s">
        <v>358</v>
      </c>
      <c r="C24" s="128"/>
      <c r="D24" s="128">
        <v>35.799999999999997</v>
      </c>
      <c r="E24" s="127">
        <v>21.8</v>
      </c>
      <c r="F24" s="127">
        <v>57.2</v>
      </c>
      <c r="G24" s="37">
        <v>5.5</v>
      </c>
      <c r="H24" s="38">
        <v>5.5</v>
      </c>
      <c r="I24" s="145">
        <v>5.5</v>
      </c>
      <c r="J24" s="167">
        <v>73.900000000000006</v>
      </c>
      <c r="K24" s="145">
        <v>22</v>
      </c>
      <c r="L24" s="39">
        <v>96</v>
      </c>
      <c r="M24" s="117">
        <v>59</v>
      </c>
      <c r="N24" s="145">
        <v>0</v>
      </c>
      <c r="O24" s="44">
        <v>2.2999999999999998</v>
      </c>
      <c r="P24" s="205">
        <v>1.1000000000000001</v>
      </c>
      <c r="Q24" s="61">
        <f t="shared" si="4"/>
        <v>30.05</v>
      </c>
      <c r="R24" s="120">
        <f t="shared" si="5"/>
        <v>37.375</v>
      </c>
      <c r="S24" s="139">
        <f t="shared" si="6"/>
        <v>37.375</v>
      </c>
      <c r="T24" s="145">
        <v>20.2</v>
      </c>
      <c r="U24" s="145">
        <v>52.8</v>
      </c>
      <c r="V24" s="145">
        <v>49.8</v>
      </c>
      <c r="W24" s="277">
        <v>69.599999999999994</v>
      </c>
      <c r="X24" s="145">
        <f>AVERAGE(T24:V24)</f>
        <v>40.93333333333333</v>
      </c>
      <c r="Y24" s="285">
        <v>92.3</v>
      </c>
      <c r="Z24" s="145">
        <v>87.9</v>
      </c>
      <c r="AA24" s="145">
        <f>AVERAGE(Y24,Z24)</f>
        <v>90.1</v>
      </c>
      <c r="AB24" s="319">
        <f t="shared" ref="AB24" si="28">AVERAGE(X24,S24,AA24)</f>
        <v>56.136111111111113</v>
      </c>
      <c r="AC24" s="144">
        <f t="shared" si="10"/>
        <v>47.445000000000007</v>
      </c>
    </row>
    <row r="25" spans="1:29" ht="14" x14ac:dyDescent="0.2">
      <c r="A25" s="89" t="s">
        <v>361</v>
      </c>
      <c r="B25" s="193" t="s">
        <v>358</v>
      </c>
      <c r="C25" s="225">
        <v>64.099999999999994</v>
      </c>
      <c r="D25" s="324">
        <v>36.799999999999997</v>
      </c>
      <c r="E25" s="245">
        <v>16</v>
      </c>
      <c r="F25" s="245">
        <v>57.1</v>
      </c>
      <c r="G25" s="231">
        <v>6.2</v>
      </c>
      <c r="H25" s="232">
        <v>6.2</v>
      </c>
      <c r="I25" s="359">
        <v>6.2</v>
      </c>
      <c r="J25" s="270">
        <v>71.8</v>
      </c>
      <c r="K25" s="231">
        <v>16</v>
      </c>
      <c r="L25" s="232">
        <v>88</v>
      </c>
      <c r="M25" s="233">
        <v>52</v>
      </c>
      <c r="N25" s="148">
        <v>0</v>
      </c>
      <c r="O25" s="362">
        <v>0.75</v>
      </c>
      <c r="P25" s="205">
        <v>0.38</v>
      </c>
      <c r="Q25" s="61">
        <f t="shared" si="4"/>
        <v>26.19</v>
      </c>
      <c r="R25" s="120">
        <f t="shared" si="5"/>
        <v>35.681666666666665</v>
      </c>
      <c r="S25" s="139">
        <f t="shared" si="6"/>
        <v>35.681666666666665</v>
      </c>
      <c r="T25" s="37">
        <v>23.3</v>
      </c>
      <c r="U25" s="38">
        <v>53</v>
      </c>
      <c r="V25" s="38">
        <v>47.2</v>
      </c>
      <c r="W25" s="277">
        <v>68.5</v>
      </c>
      <c r="X25" s="61">
        <f t="shared" si="7"/>
        <v>41.166666666666664</v>
      </c>
      <c r="Y25" s="203">
        <v>91</v>
      </c>
      <c r="Z25" s="204">
        <v>85.9</v>
      </c>
      <c r="AA25" s="205">
        <f t="shared" ref="AA25" si="29">AVERAGE(Y25,Z25)</f>
        <v>88.45</v>
      </c>
      <c r="AB25" s="308">
        <f t="shared" si="9"/>
        <v>55.099444444444451</v>
      </c>
      <c r="AC25" s="144">
        <f t="shared" si="10"/>
        <v>46.149000000000001</v>
      </c>
    </row>
    <row r="26" spans="1:29" ht="15" thickBot="1" x14ac:dyDescent="0.25">
      <c r="A26" s="382" t="s">
        <v>362</v>
      </c>
      <c r="B26" s="67" t="s">
        <v>358</v>
      </c>
      <c r="C26" s="67">
        <v>48.25</v>
      </c>
      <c r="D26" s="67">
        <v>59.7</v>
      </c>
      <c r="E26" s="131">
        <v>12</v>
      </c>
      <c r="F26" s="131">
        <v>42.1</v>
      </c>
      <c r="G26" s="56">
        <v>7.8</v>
      </c>
      <c r="H26" s="42">
        <v>8</v>
      </c>
      <c r="I26" s="62">
        <v>7.9</v>
      </c>
      <c r="J26" s="170">
        <v>73.599999999999994</v>
      </c>
      <c r="K26" s="56">
        <v>18</v>
      </c>
      <c r="L26" s="42">
        <v>64</v>
      </c>
      <c r="M26" s="53">
        <v>41</v>
      </c>
      <c r="N26" s="62">
        <v>3.8</v>
      </c>
      <c r="O26" s="42">
        <v>14.3</v>
      </c>
      <c r="P26" s="67">
        <v>9</v>
      </c>
      <c r="Q26" s="191">
        <f t="shared" si="4"/>
        <v>25</v>
      </c>
      <c r="R26" s="132">
        <f t="shared" si="5"/>
        <v>36.699999999999996</v>
      </c>
      <c r="S26" s="198">
        <f t="shared" si="6"/>
        <v>36.716666666666669</v>
      </c>
      <c r="T26" s="383">
        <v>16.100000000000001</v>
      </c>
      <c r="U26" s="62">
        <v>47.9</v>
      </c>
      <c r="V26" s="42">
        <v>29.1</v>
      </c>
      <c r="W26" s="391">
        <v>58.3</v>
      </c>
      <c r="X26" s="62">
        <f t="shared" si="7"/>
        <v>31.033333333333331</v>
      </c>
      <c r="Y26" s="155">
        <v>86.2</v>
      </c>
      <c r="Z26" s="156">
        <v>82.7</v>
      </c>
      <c r="AA26" s="157">
        <f t="shared" ref="AA26" si="30">AVERAGE(Y26,Z26)</f>
        <v>84.45</v>
      </c>
      <c r="AB26" s="384">
        <f t="shared" si="9"/>
        <v>50.733333333333327</v>
      </c>
      <c r="AC26" s="346">
        <f t="shared" si="10"/>
        <v>43.429999999999993</v>
      </c>
    </row>
    <row r="27" spans="1:29" ht="15.75" hidden="1" customHeight="1" thickBot="1" x14ac:dyDescent="0.25">
      <c r="A27" s="333" t="s">
        <v>468</v>
      </c>
      <c r="B27" s="334" t="s">
        <v>358</v>
      </c>
      <c r="C27" s="377"/>
      <c r="D27" s="335">
        <v>18.100000000000001</v>
      </c>
      <c r="E27" s="336">
        <v>25.2</v>
      </c>
      <c r="F27" s="336">
        <v>38.5</v>
      </c>
      <c r="G27" s="337">
        <v>6.9</v>
      </c>
      <c r="H27" s="360">
        <v>7</v>
      </c>
      <c r="I27" s="339">
        <v>7</v>
      </c>
      <c r="J27" s="340">
        <v>84.6</v>
      </c>
      <c r="K27" s="341">
        <v>6</v>
      </c>
      <c r="L27" s="342">
        <v>39</v>
      </c>
      <c r="M27" s="343">
        <v>22.5</v>
      </c>
      <c r="N27" s="341">
        <v>0.8</v>
      </c>
      <c r="O27" s="342">
        <v>24.8</v>
      </c>
      <c r="P27" s="346">
        <v>12.8</v>
      </c>
      <c r="Q27" s="378">
        <f>AVERAGE(M27,P27)</f>
        <v>17.649999999999999</v>
      </c>
      <c r="R27" s="336">
        <f>AVERAGE(D27,E27,F27,G27,J27,Q27)</f>
        <v>31.825000000000003</v>
      </c>
      <c r="S27" s="344">
        <f>AVERAGE(Q27,J27,I27,F27,E27,D27)</f>
        <v>31.841666666666665</v>
      </c>
      <c r="T27" s="379">
        <v>37.5</v>
      </c>
      <c r="U27" s="380">
        <v>65.400000000000006</v>
      </c>
      <c r="V27" s="380">
        <v>61.2</v>
      </c>
      <c r="W27" s="380">
        <v>76.599999999999994</v>
      </c>
      <c r="X27" s="381">
        <f>AVERAGE(T27:V27)</f>
        <v>54.70000000000001</v>
      </c>
      <c r="Y27" s="345">
        <v>20.2</v>
      </c>
      <c r="Z27" s="341">
        <v>19.7</v>
      </c>
      <c r="AA27" s="341">
        <f>AVERAGE(Y27,Z27)</f>
        <v>19.95</v>
      </c>
      <c r="AB27" s="242">
        <f>AVERAGE(X27,S27,AA27)</f>
        <v>35.497222222222227</v>
      </c>
      <c r="AC27" s="346">
        <f>AVERAGE(D27,E27,F27,G27,J27,Q27,T27,V27,Y27,Z27)</f>
        <v>32.954999999999998</v>
      </c>
    </row>
  </sheetData>
  <mergeCells count="27">
    <mergeCell ref="T1:X1"/>
    <mergeCell ref="Y1:AA1"/>
    <mergeCell ref="AB1:AB4"/>
    <mergeCell ref="AC1:AC4"/>
    <mergeCell ref="Y2:Y4"/>
    <mergeCell ref="Z2:Z4"/>
    <mergeCell ref="AA2:AA4"/>
    <mergeCell ref="V3:W3"/>
    <mergeCell ref="X3:X4"/>
    <mergeCell ref="T2:X2"/>
    <mergeCell ref="T3:U3"/>
    <mergeCell ref="A2:A4"/>
    <mergeCell ref="B2:B4"/>
    <mergeCell ref="G2:I2"/>
    <mergeCell ref="R2:R4"/>
    <mergeCell ref="B1:S1"/>
    <mergeCell ref="D3:D4"/>
    <mergeCell ref="E3:E4"/>
    <mergeCell ref="F3:F4"/>
    <mergeCell ref="G3:I3"/>
    <mergeCell ref="J3:J4"/>
    <mergeCell ref="Q3:Q4"/>
    <mergeCell ref="S2:S4"/>
    <mergeCell ref="K2:Q2"/>
    <mergeCell ref="C2:C4"/>
    <mergeCell ref="K3:M3"/>
    <mergeCell ref="N3:P3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E0A4-B92A-D748-AFE8-DFA8A8842629}">
  <sheetPr>
    <outlinePr summaryBelow="0" summaryRight="0"/>
  </sheetPr>
  <dimension ref="A1:AA33"/>
  <sheetViews>
    <sheetView zoomScale="150" zoomScaleNormal="150" workbookViewId="0">
      <selection activeCell="C29" sqref="C29:O29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44" t="s">
        <v>384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6"/>
      <c r="R1" s="744" t="s">
        <v>378</v>
      </c>
      <c r="S1" s="745"/>
      <c r="T1" s="745"/>
      <c r="U1" s="745"/>
      <c r="V1" s="745"/>
      <c r="W1" s="744" t="s">
        <v>399</v>
      </c>
      <c r="X1" s="689"/>
      <c r="Y1" s="690"/>
      <c r="Z1" s="691" t="s">
        <v>385</v>
      </c>
      <c r="AA1" s="691" t="s">
        <v>393</v>
      </c>
    </row>
    <row r="2" spans="1:27" ht="15" thickBot="1" x14ac:dyDescent="0.25">
      <c r="A2" s="738" t="s">
        <v>0</v>
      </c>
      <c r="B2" s="741" t="s">
        <v>1</v>
      </c>
      <c r="C2" s="103" t="s">
        <v>2</v>
      </c>
      <c r="D2" s="103" t="s">
        <v>3</v>
      </c>
      <c r="E2" s="103" t="s">
        <v>4</v>
      </c>
      <c r="F2" s="731" t="s">
        <v>5</v>
      </c>
      <c r="G2" s="732"/>
      <c r="H2" s="733"/>
      <c r="I2" s="104" t="s">
        <v>367</v>
      </c>
      <c r="J2" s="734" t="s">
        <v>420</v>
      </c>
      <c r="K2" s="735"/>
      <c r="L2" s="735"/>
      <c r="M2" s="736"/>
      <c r="N2" s="736"/>
      <c r="O2" s="737"/>
      <c r="P2" s="715" t="s">
        <v>409</v>
      </c>
      <c r="Q2" s="718" t="s">
        <v>408</v>
      </c>
      <c r="R2" s="721" t="s">
        <v>381</v>
      </c>
      <c r="S2" s="722"/>
      <c r="T2" s="722"/>
      <c r="U2" s="722"/>
      <c r="V2" s="723"/>
      <c r="W2" s="750" t="s">
        <v>400</v>
      </c>
      <c r="X2" s="750" t="s">
        <v>401</v>
      </c>
      <c r="Y2" s="750" t="s">
        <v>402</v>
      </c>
      <c r="Z2" s="729"/>
      <c r="AA2" s="729"/>
    </row>
    <row r="3" spans="1:27" ht="14" customHeight="1" thickBot="1" x14ac:dyDescent="0.2">
      <c r="A3" s="739"/>
      <c r="B3" s="742"/>
      <c r="C3" s="747" t="s">
        <v>9</v>
      </c>
      <c r="D3" s="708" t="s">
        <v>10</v>
      </c>
      <c r="E3" s="708" t="s">
        <v>11</v>
      </c>
      <c r="F3" s="710" t="s">
        <v>12</v>
      </c>
      <c r="G3" s="711"/>
      <c r="H3" s="712"/>
      <c r="I3" s="713" t="s">
        <v>13</v>
      </c>
      <c r="J3" s="698" t="s">
        <v>421</v>
      </c>
      <c r="K3" s="699"/>
      <c r="L3" s="699"/>
      <c r="M3" s="698" t="s">
        <v>422</v>
      </c>
      <c r="N3" s="699"/>
      <c r="O3" s="700"/>
      <c r="P3" s="716"/>
      <c r="Q3" s="719"/>
      <c r="R3" s="703" t="s">
        <v>380</v>
      </c>
      <c r="S3" s="700"/>
      <c r="T3" s="703" t="s">
        <v>379</v>
      </c>
      <c r="U3" s="700"/>
      <c r="V3" s="704" t="s">
        <v>382</v>
      </c>
      <c r="W3" s="751"/>
      <c r="X3" s="751"/>
      <c r="Y3" s="751"/>
      <c r="Z3" s="729"/>
      <c r="AA3" s="729"/>
    </row>
    <row r="4" spans="1:27" ht="14" thickBot="1" x14ac:dyDescent="0.2">
      <c r="A4" s="740"/>
      <c r="B4" s="743"/>
      <c r="C4" s="709"/>
      <c r="D4" s="709"/>
      <c r="E4" s="709"/>
      <c r="F4" s="86" t="s">
        <v>368</v>
      </c>
      <c r="G4" s="88" t="s">
        <v>369</v>
      </c>
      <c r="H4" s="88" t="s">
        <v>370</v>
      </c>
      <c r="I4" s="71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17"/>
      <c r="Q4" s="720"/>
      <c r="R4" s="78" t="s">
        <v>387</v>
      </c>
      <c r="S4" s="79" t="s">
        <v>388</v>
      </c>
      <c r="T4" s="76" t="s">
        <v>387</v>
      </c>
      <c r="U4" s="77" t="s">
        <v>388</v>
      </c>
      <c r="V4" s="705"/>
      <c r="W4" s="752"/>
      <c r="X4" s="752"/>
      <c r="Y4" s="752"/>
      <c r="Z4" s="730"/>
      <c r="AA4" s="730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1">
        <v>34.6</v>
      </c>
      <c r="S5" s="261">
        <v>63.2</v>
      </c>
      <c r="T5" s="261">
        <v>58.9</v>
      </c>
      <c r="U5" s="261">
        <v>73.8</v>
      </c>
      <c r="V5" s="332">
        <f t="shared" ref="V5:V11" si="0">AVERAGE(R5:T5)</f>
        <v>52.233333333333341</v>
      </c>
      <c r="W5" s="97">
        <v>94.2</v>
      </c>
      <c r="X5" s="95">
        <v>89.4</v>
      </c>
      <c r="Y5" s="99">
        <f t="shared" ref="Y5" si="1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2">AVERAGE(C6,D6,E6,F6,I6,J6)</f>
        <v>68.183333333333323</v>
      </c>
      <c r="Q6" s="254">
        <f t="shared" ref="Q6:Q18" si="3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 t="shared" si="0"/>
        <v>48.066666666666663</v>
      </c>
      <c r="W6" s="140">
        <v>93.9</v>
      </c>
      <c r="X6" s="196">
        <v>90.3</v>
      </c>
      <c r="Y6" s="142">
        <f t="shared" ref="Y6:Y22" si="4"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2"/>
        <v>68.149999999999991</v>
      </c>
      <c r="Q7" s="122">
        <f t="shared" si="3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 t="shared" si="0"/>
        <v>47.033333333333331</v>
      </c>
      <c r="W7" s="96">
        <v>94.3</v>
      </c>
      <c r="X7" s="94">
        <v>90.3</v>
      </c>
      <c r="Y7" s="98">
        <f t="shared" si="4"/>
        <v>92.3</v>
      </c>
      <c r="Z7" s="143">
        <f t="shared" ref="Z7:Z30" si="5">AVERAGE(V7,Q7,Y7)</f>
        <v>70.188888888888883</v>
      </c>
      <c r="AA7" s="144">
        <f t="shared" ref="AA7:AA30" si="6">AVERAGE(C7,D7,E7,F7,I7,L7,R7,T7,W7,X7)</f>
        <v>69.639999999999986</v>
      </c>
    </row>
    <row r="8" spans="1:27" ht="14" x14ac:dyDescent="0.2">
      <c r="A8" s="283" t="s">
        <v>477</v>
      </c>
      <c r="B8" s="167" t="s">
        <v>21</v>
      </c>
      <c r="C8" s="351">
        <v>75.5</v>
      </c>
      <c r="D8" s="120">
        <v>65.8</v>
      </c>
      <c r="E8" s="251">
        <v>67.099999999999994</v>
      </c>
      <c r="F8" s="356">
        <v>61.1</v>
      </c>
      <c r="G8" s="352">
        <v>63.6</v>
      </c>
      <c r="H8" s="61">
        <v>62.5</v>
      </c>
      <c r="I8" s="252">
        <v>77.8</v>
      </c>
      <c r="J8" s="34">
        <v>16</v>
      </c>
      <c r="K8" s="35">
        <v>85</v>
      </c>
      <c r="L8" s="64">
        <v>50.5</v>
      </c>
      <c r="M8" s="61">
        <v>2.2999999999999998</v>
      </c>
      <c r="N8" s="35">
        <v>4.5</v>
      </c>
      <c r="O8" s="61">
        <v>3.4</v>
      </c>
      <c r="P8" s="293">
        <f>AVERAGE(C8,D8,E8,F8,I8,J8)</f>
        <v>60.550000000000004</v>
      </c>
      <c r="Q8" s="122">
        <f>AVERAGE(L8,I8,H8,E8,D8,C8)</f>
        <v>66.533333333333331</v>
      </c>
      <c r="R8" s="61">
        <v>26.4</v>
      </c>
      <c r="S8" s="61">
        <v>52.5</v>
      </c>
      <c r="T8" s="34">
        <v>48.9</v>
      </c>
      <c r="U8" s="35">
        <v>67.3</v>
      </c>
      <c r="V8" s="61">
        <f>AVERAGE(R8:T8)</f>
        <v>42.6</v>
      </c>
      <c r="W8" s="136">
        <v>92.2</v>
      </c>
      <c r="X8" s="137">
        <v>87.4</v>
      </c>
      <c r="Y8" s="99">
        <f>AVERAGE(W8,X8)</f>
        <v>89.800000000000011</v>
      </c>
      <c r="Z8" s="143">
        <f t="shared" ref="Z8" si="7">AVERAGE(V8,Q8,Y8)</f>
        <v>66.311111111111117</v>
      </c>
      <c r="AA8" s="144">
        <f>AVERAGE(C8,D8,E8,F8,I8,L8,R8,T8,W8,X8)</f>
        <v>65.27</v>
      </c>
    </row>
    <row r="9" spans="1:27" ht="14" x14ac:dyDescent="0.2">
      <c r="A9" s="283" t="s">
        <v>476</v>
      </c>
      <c r="B9" s="167" t="s">
        <v>21</v>
      </c>
      <c r="C9" s="351">
        <v>72.5</v>
      </c>
      <c r="D9" s="120">
        <v>63.4</v>
      </c>
      <c r="E9" s="251">
        <v>67.7</v>
      </c>
      <c r="F9" s="353">
        <v>62.4</v>
      </c>
      <c r="G9" s="352">
        <v>64.7</v>
      </c>
      <c r="H9" s="61">
        <v>63.7</v>
      </c>
      <c r="I9" s="252">
        <v>78.900000000000006</v>
      </c>
      <c r="J9" s="34">
        <v>18</v>
      </c>
      <c r="K9" s="35">
        <v>89</v>
      </c>
      <c r="L9" s="64">
        <v>53.5</v>
      </c>
      <c r="M9" s="61">
        <v>3</v>
      </c>
      <c r="N9" s="35">
        <v>3.8</v>
      </c>
      <c r="O9" s="61">
        <v>3.4</v>
      </c>
      <c r="P9" s="295">
        <f>AVERAGE(C9,D9,E9,F9,I9,J9)</f>
        <v>60.483333333333327</v>
      </c>
      <c r="Q9" s="193">
        <f>AVERAGE(L9,I9,H9,E9,D9,C9)</f>
        <v>66.61666666666666</v>
      </c>
      <c r="R9" s="61">
        <v>28.1</v>
      </c>
      <c r="S9" s="61">
        <v>53.5</v>
      </c>
      <c r="T9" s="34">
        <v>44.5</v>
      </c>
      <c r="U9" s="35">
        <v>64.3</v>
      </c>
      <c r="V9" s="61">
        <f t="shared" si="0"/>
        <v>42.033333333333331</v>
      </c>
      <c r="W9" s="136">
        <v>91</v>
      </c>
      <c r="X9" s="137">
        <v>86.6</v>
      </c>
      <c r="Y9" s="138">
        <f t="shared" si="4"/>
        <v>88.8</v>
      </c>
      <c r="Z9" s="69">
        <f>AVERAGE(V9,Q9,Y9)</f>
        <v>65.816666666666663</v>
      </c>
      <c r="AA9" s="115">
        <f>AVERAGE(C9,D9,E9,F9,I9,L9,R9,T9,W9,X9)</f>
        <v>64.86</v>
      </c>
    </row>
    <row r="10" spans="1:27" ht="14" x14ac:dyDescent="0.2">
      <c r="A10" s="47" t="s">
        <v>425</v>
      </c>
      <c r="B10" s="128" t="s">
        <v>360</v>
      </c>
      <c r="C10" s="162">
        <v>86.6</v>
      </c>
      <c r="D10" s="127">
        <v>56.4</v>
      </c>
      <c r="E10" s="162">
        <v>70.400000000000006</v>
      </c>
      <c r="F10" s="124">
        <v>22.7</v>
      </c>
      <c r="G10" s="40">
        <v>22.7</v>
      </c>
      <c r="H10" s="43">
        <v>22.7</v>
      </c>
      <c r="I10" s="168">
        <v>83.7</v>
      </c>
      <c r="J10" s="37">
        <v>31</v>
      </c>
      <c r="K10" s="38">
        <v>88</v>
      </c>
      <c r="L10" s="117">
        <v>59.5</v>
      </c>
      <c r="M10" s="61"/>
      <c r="N10" s="38"/>
      <c r="O10" s="61"/>
      <c r="P10" s="293">
        <f>AVERAGE(C10,D10,E10,F10,I10,J10)</f>
        <v>58.466666666666669</v>
      </c>
      <c r="Q10" s="122">
        <f>AVERAGE(L10,I10,H10,E10,D10,C10)</f>
        <v>63.216666666666661</v>
      </c>
      <c r="R10" s="34">
        <v>28.3</v>
      </c>
      <c r="S10" s="61">
        <v>57.2</v>
      </c>
      <c r="T10" s="34">
        <v>56.1</v>
      </c>
      <c r="U10" s="35">
        <v>73.2</v>
      </c>
      <c r="V10" s="61">
        <f t="shared" si="0"/>
        <v>47.199999999999996</v>
      </c>
      <c r="W10" s="97">
        <v>94.1</v>
      </c>
      <c r="X10" s="95">
        <v>89.3</v>
      </c>
      <c r="Y10" s="99">
        <f t="shared" si="4"/>
        <v>91.699999999999989</v>
      </c>
      <c r="Z10" s="143">
        <f t="shared" si="5"/>
        <v>67.37222222222222</v>
      </c>
      <c r="AA10" s="144">
        <f>AVERAGE(C10,D10,E10,F10,I10,L10,R10,T10,W10,X10)</f>
        <v>64.710000000000008</v>
      </c>
    </row>
    <row r="11" spans="1:27" ht="14" x14ac:dyDescent="0.2">
      <c r="A11" s="47" t="s">
        <v>473</v>
      </c>
      <c r="B11" s="66" t="s">
        <v>21</v>
      </c>
      <c r="C11" s="127">
        <v>76</v>
      </c>
      <c r="D11" s="127">
        <v>61.6</v>
      </c>
      <c r="E11" s="127">
        <v>68.25</v>
      </c>
      <c r="F11" s="37">
        <v>61.9</v>
      </c>
      <c r="G11" s="38">
        <v>64.8</v>
      </c>
      <c r="H11" s="61">
        <v>63.6</v>
      </c>
      <c r="I11" s="167">
        <v>75.7</v>
      </c>
      <c r="J11" s="37">
        <v>17</v>
      </c>
      <c r="K11" s="38">
        <v>84</v>
      </c>
      <c r="L11" s="117">
        <v>50.5</v>
      </c>
      <c r="M11" s="61">
        <v>3.8</v>
      </c>
      <c r="N11" s="35">
        <v>7.5</v>
      </c>
      <c r="O11" s="61">
        <v>5.6</v>
      </c>
      <c r="P11" s="293">
        <f t="shared" ref="P11" si="8">AVERAGE(C11,D11,E11,F11,I11,J11)</f>
        <v>60.074999999999996</v>
      </c>
      <c r="Q11" s="122">
        <f t="shared" ref="Q11" si="9">AVERAGE(L11,I11,H11,E11,D11,C11)</f>
        <v>65.941666666666677</v>
      </c>
      <c r="R11" s="61">
        <v>27</v>
      </c>
      <c r="S11" s="61">
        <v>53.2</v>
      </c>
      <c r="T11" s="34">
        <v>47.1</v>
      </c>
      <c r="U11" s="35">
        <v>66.599999999999994</v>
      </c>
      <c r="V11" s="61">
        <f t="shared" si="0"/>
        <v>42.433333333333337</v>
      </c>
      <c r="W11" s="97">
        <v>91.5</v>
      </c>
      <c r="X11" s="95">
        <v>86.9</v>
      </c>
      <c r="Y11" s="99">
        <f t="shared" si="4"/>
        <v>89.2</v>
      </c>
      <c r="Z11" s="143">
        <f>AVERAGE(V11,Q11,Y11)</f>
        <v>65.858333333333334</v>
      </c>
      <c r="AA11" s="144">
        <f>AVERAGE(C11,D11,E11,F11,I11,L11,R11,T11,W11,X11)</f>
        <v>64.644999999999996</v>
      </c>
    </row>
    <row r="12" spans="1:27" ht="14" x14ac:dyDescent="0.2">
      <c r="A12" s="47" t="s">
        <v>423</v>
      </c>
      <c r="B12" s="128" t="s">
        <v>360</v>
      </c>
      <c r="C12" s="162">
        <v>85.7</v>
      </c>
      <c r="D12" s="127">
        <v>57.8</v>
      </c>
      <c r="E12" s="162">
        <v>69.3</v>
      </c>
      <c r="F12" s="124">
        <v>21.6</v>
      </c>
      <c r="G12" s="40">
        <v>22.8</v>
      </c>
      <c r="H12" s="61">
        <v>22.3</v>
      </c>
      <c r="I12" s="168">
        <v>82.7</v>
      </c>
      <c r="J12" s="37">
        <v>32</v>
      </c>
      <c r="K12" s="38">
        <v>88</v>
      </c>
      <c r="L12" s="117">
        <v>60</v>
      </c>
      <c r="M12" s="61">
        <v>7.5</v>
      </c>
      <c r="N12" s="38">
        <v>10.5</v>
      </c>
      <c r="O12" s="61">
        <v>9</v>
      </c>
      <c r="P12" s="293">
        <f>AVERAGE(C12,D12,E12,F12,I12,J12)</f>
        <v>58.183333333333337</v>
      </c>
      <c r="Q12" s="122">
        <f>AVERAGE(L12,I12,H12,E12,D12,C12)</f>
        <v>62.966666666666669</v>
      </c>
      <c r="R12" s="34">
        <v>27.7</v>
      </c>
      <c r="S12" s="61">
        <v>56.8</v>
      </c>
      <c r="T12" s="34">
        <v>56.6</v>
      </c>
      <c r="U12" s="35">
        <v>73.900000000000006</v>
      </c>
      <c r="V12" s="61">
        <f t="shared" ref="V12:V30" si="10">AVERAGE(R12:T12)</f>
        <v>47.033333333333331</v>
      </c>
      <c r="W12" s="97">
        <v>94</v>
      </c>
      <c r="X12" s="95">
        <v>89.3</v>
      </c>
      <c r="Y12" s="99">
        <f t="shared" si="4"/>
        <v>91.65</v>
      </c>
      <c r="Z12" s="143">
        <f t="shared" si="5"/>
        <v>67.216666666666669</v>
      </c>
      <c r="AA12" s="144">
        <f t="shared" ref="AA12" si="11">AVERAGE(C12,D12,E12,F12,I12,L12,R12,T12,W12,X12)</f>
        <v>64.47</v>
      </c>
    </row>
    <row r="13" spans="1:27" ht="14" x14ac:dyDescent="0.2">
      <c r="A13" s="283" t="s">
        <v>474</v>
      </c>
      <c r="B13" s="165" t="s">
        <v>21</v>
      </c>
      <c r="C13" s="66">
        <v>72.900000000000006</v>
      </c>
      <c r="D13" s="120">
        <v>67.2</v>
      </c>
      <c r="E13" s="120">
        <v>69.8</v>
      </c>
      <c r="F13" s="123">
        <v>62.4</v>
      </c>
      <c r="G13" s="36">
        <v>64.8</v>
      </c>
      <c r="H13" s="60">
        <v>63.8</v>
      </c>
      <c r="I13" s="165">
        <v>83.1</v>
      </c>
      <c r="J13" s="34">
        <v>11</v>
      </c>
      <c r="K13" s="35">
        <v>82</v>
      </c>
      <c r="L13" s="64">
        <v>46.5</v>
      </c>
      <c r="M13" s="61">
        <v>6.8</v>
      </c>
      <c r="N13" s="35">
        <v>30.1</v>
      </c>
      <c r="O13" s="61">
        <v>18.399999999999999</v>
      </c>
      <c r="P13" s="109">
        <f>AVERAGE(C13,D13,E13,F13,I13,J13)</f>
        <v>61.066666666666663</v>
      </c>
      <c r="Q13" s="312">
        <f>AVERAGE(L13,I13,H13,E13,D13,C13)</f>
        <v>67.216666666666654</v>
      </c>
      <c r="R13" s="61">
        <v>7.8</v>
      </c>
      <c r="S13" s="38">
        <v>44.3</v>
      </c>
      <c r="T13" s="38">
        <v>41.1</v>
      </c>
      <c r="U13" s="38">
        <v>63.1</v>
      </c>
      <c r="V13" s="61">
        <f>AVERAGE(R13:T13)</f>
        <v>31.066666666666663</v>
      </c>
      <c r="W13" s="136">
        <v>92</v>
      </c>
      <c r="X13" s="137">
        <v>87.2</v>
      </c>
      <c r="Y13" s="138">
        <f t="shared" si="4"/>
        <v>89.6</v>
      </c>
      <c r="Z13" s="310">
        <f>AVERAGE(V13,Q13,Y13)</f>
        <v>62.627777777777773</v>
      </c>
      <c r="AA13" s="311">
        <f>AVERAGE(C13,D13,E13,F13,I13,L13,R13,T13,W13,X13)</f>
        <v>63</v>
      </c>
    </row>
    <row r="14" spans="1:27" ht="14" x14ac:dyDescent="0.2">
      <c r="A14" s="49" t="s">
        <v>475</v>
      </c>
      <c r="B14" s="66" t="s">
        <v>21</v>
      </c>
      <c r="C14" s="120">
        <v>75.400000000000006</v>
      </c>
      <c r="D14" s="120">
        <v>63.4</v>
      </c>
      <c r="E14" s="120">
        <v>69</v>
      </c>
      <c r="F14" s="34">
        <v>60.2</v>
      </c>
      <c r="G14" s="35">
        <v>64.8</v>
      </c>
      <c r="H14" s="61">
        <v>62.9</v>
      </c>
      <c r="I14" s="165">
        <v>83.5</v>
      </c>
      <c r="J14" s="34">
        <v>13</v>
      </c>
      <c r="K14" s="35">
        <v>81</v>
      </c>
      <c r="L14" s="64">
        <v>47</v>
      </c>
      <c r="M14" s="61">
        <v>12.8</v>
      </c>
      <c r="N14" s="35">
        <v>60.9</v>
      </c>
      <c r="O14" s="61">
        <v>36.799999999999997</v>
      </c>
      <c r="P14" s="293">
        <f>AVERAGE(C14,D14,E14,F14,I14,J14)</f>
        <v>60.75</v>
      </c>
      <c r="Q14" s="122">
        <f>AVERAGE(L14,I14,H14,E14,D14,C14)</f>
        <v>66.86666666666666</v>
      </c>
      <c r="R14" s="61">
        <v>8.4</v>
      </c>
      <c r="S14" s="38">
        <v>44.4</v>
      </c>
      <c r="T14" s="38">
        <v>36.6</v>
      </c>
      <c r="U14" s="38">
        <v>60.9</v>
      </c>
      <c r="V14" s="61">
        <f>AVERAGE(R14:T14)</f>
        <v>29.8</v>
      </c>
      <c r="W14" s="97">
        <v>91.9</v>
      </c>
      <c r="X14" s="95">
        <v>86.9</v>
      </c>
      <c r="Y14" s="99">
        <f t="shared" si="4"/>
        <v>89.4</v>
      </c>
      <c r="Z14" s="143">
        <f>AVERAGE(V14,Q14,Y14)</f>
        <v>62.022222222222219</v>
      </c>
      <c r="AA14" s="144">
        <f>AVERAGE(C14,D14,E14,F14,I14,L14,R14,T14,W14,X14)</f>
        <v>62.23</v>
      </c>
    </row>
    <row r="15" spans="1:27" ht="14" x14ac:dyDescent="0.2">
      <c r="A15" s="47" t="s">
        <v>460</v>
      </c>
      <c r="B15" s="66" t="s">
        <v>21</v>
      </c>
      <c r="C15" s="127">
        <v>70.400000000000006</v>
      </c>
      <c r="D15" s="127">
        <v>61</v>
      </c>
      <c r="E15" s="127">
        <v>66.900000000000006</v>
      </c>
      <c r="F15" s="37">
        <v>56.4</v>
      </c>
      <c r="G15" s="38">
        <v>59.2</v>
      </c>
      <c r="H15" s="61">
        <v>58</v>
      </c>
      <c r="I15" s="167">
        <v>83.1</v>
      </c>
      <c r="J15" s="37">
        <v>14</v>
      </c>
      <c r="K15" s="38">
        <v>86</v>
      </c>
      <c r="L15" s="117">
        <v>50</v>
      </c>
      <c r="M15" s="61">
        <v>2.2999999999999998</v>
      </c>
      <c r="N15" s="35">
        <v>4.5</v>
      </c>
      <c r="O15" s="61">
        <v>3.4</v>
      </c>
      <c r="P15" s="293">
        <f t="shared" si="2"/>
        <v>58.633333333333333</v>
      </c>
      <c r="Q15" s="122">
        <f t="shared" si="3"/>
        <v>64.899999999999991</v>
      </c>
      <c r="R15" s="61">
        <v>23.5</v>
      </c>
      <c r="S15" s="38">
        <v>47.8</v>
      </c>
      <c r="T15" s="38">
        <v>35.5</v>
      </c>
      <c r="U15" s="38">
        <v>59.4</v>
      </c>
      <c r="V15" s="61">
        <f>AVERAGE(R15:T15)</f>
        <v>35.6</v>
      </c>
      <c r="W15" s="97">
        <v>88.8</v>
      </c>
      <c r="X15" s="95">
        <v>84</v>
      </c>
      <c r="Y15" s="99">
        <f t="shared" si="4"/>
        <v>86.4</v>
      </c>
      <c r="Z15" s="143">
        <f>AVERAGE(V15,Q15,Y15)</f>
        <v>62.300000000000004</v>
      </c>
      <c r="AA15" s="144">
        <f>AVERAGE(C15,D15,E15,F15,I15,L15,R15,T15,W15,X15)</f>
        <v>61.96</v>
      </c>
    </row>
    <row r="16" spans="1:27" ht="14" x14ac:dyDescent="0.2">
      <c r="A16" s="49" t="s">
        <v>458</v>
      </c>
      <c r="B16" s="66" t="s">
        <v>21</v>
      </c>
      <c r="C16" s="120">
        <v>71.599999999999994</v>
      </c>
      <c r="D16" s="120">
        <v>62</v>
      </c>
      <c r="E16" s="120">
        <v>68.3</v>
      </c>
      <c r="F16" s="34">
        <v>59.1</v>
      </c>
      <c r="G16" s="35">
        <v>62.1</v>
      </c>
      <c r="H16" s="61">
        <v>60.8</v>
      </c>
      <c r="I16" s="165">
        <v>80.7</v>
      </c>
      <c r="J16" s="34">
        <v>12</v>
      </c>
      <c r="K16" s="35">
        <v>87</v>
      </c>
      <c r="L16" s="64">
        <v>49.5</v>
      </c>
      <c r="M16" s="61">
        <v>15</v>
      </c>
      <c r="N16" s="35">
        <v>68.400000000000006</v>
      </c>
      <c r="O16" s="61">
        <v>41.7</v>
      </c>
      <c r="P16" s="293">
        <f t="shared" si="2"/>
        <v>58.949999999999996</v>
      </c>
      <c r="Q16" s="122">
        <f t="shared" si="3"/>
        <v>65.483333333333334</v>
      </c>
      <c r="R16" s="61">
        <v>10.5</v>
      </c>
      <c r="S16" s="38">
        <v>44.5</v>
      </c>
      <c r="T16" s="38">
        <v>35</v>
      </c>
      <c r="U16" s="38">
        <v>60.2</v>
      </c>
      <c r="V16" s="61">
        <f>AVERAGE(R16:T16)</f>
        <v>30</v>
      </c>
      <c r="W16" s="97">
        <v>89.8</v>
      </c>
      <c r="X16" s="95">
        <v>85.4</v>
      </c>
      <c r="Y16" s="99">
        <f t="shared" si="4"/>
        <v>87.6</v>
      </c>
      <c r="Z16" s="143">
        <f>AVERAGE(V16,Q16,Y16)</f>
        <v>61.027777777777771</v>
      </c>
      <c r="AA16" s="144">
        <f>AVERAGE(C16,D16,E16,F16,I16,L16,R16,T16,W16,X16)</f>
        <v>61.19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293">
        <f t="shared" si="2"/>
        <v>52.932249999999989</v>
      </c>
      <c r="Q17" s="122">
        <f t="shared" si="3"/>
        <v>57.682250000000003</v>
      </c>
      <c r="R17" s="61">
        <v>30.3</v>
      </c>
      <c r="S17" s="38">
        <v>60.2</v>
      </c>
      <c r="T17" s="38">
        <v>48</v>
      </c>
      <c r="U17" s="38">
        <v>67.099999999999994</v>
      </c>
      <c r="V17" s="61">
        <f t="shared" si="10"/>
        <v>46.166666666666664</v>
      </c>
      <c r="W17" s="97">
        <v>93.5</v>
      </c>
      <c r="X17" s="95">
        <v>88.6</v>
      </c>
      <c r="Y17" s="99">
        <f t="shared" si="4"/>
        <v>91.05</v>
      </c>
      <c r="Z17" s="308">
        <f t="shared" si="5"/>
        <v>64.96630555555555</v>
      </c>
      <c r="AA17" s="309">
        <f t="shared" si="6"/>
        <v>60.649349999999991</v>
      </c>
    </row>
    <row r="18" spans="1:27" ht="14" x14ac:dyDescent="0.2">
      <c r="A18" s="47" t="s">
        <v>457</v>
      </c>
      <c r="B18" s="66" t="s">
        <v>21</v>
      </c>
      <c r="C18" s="127">
        <v>69.099999999999994</v>
      </c>
      <c r="D18" s="127">
        <v>60.8</v>
      </c>
      <c r="E18" s="127">
        <v>68.2</v>
      </c>
      <c r="F18" s="37">
        <v>59.2</v>
      </c>
      <c r="G18" s="38">
        <v>62.5</v>
      </c>
      <c r="H18" s="61">
        <v>61.1</v>
      </c>
      <c r="I18" s="167">
        <v>82.5</v>
      </c>
      <c r="J18" s="37">
        <v>13</v>
      </c>
      <c r="K18" s="38">
        <v>69</v>
      </c>
      <c r="L18" s="117">
        <v>41</v>
      </c>
      <c r="M18" s="61">
        <v>5.3</v>
      </c>
      <c r="N18" s="35">
        <v>27.1</v>
      </c>
      <c r="O18" s="61">
        <v>16.2</v>
      </c>
      <c r="P18" s="293">
        <f t="shared" si="2"/>
        <v>58.79999999999999</v>
      </c>
      <c r="Q18" s="122">
        <f t="shared" si="3"/>
        <v>63.783333333333339</v>
      </c>
      <c r="R18" s="61">
        <v>9.6</v>
      </c>
      <c r="S18" s="38">
        <v>44.7</v>
      </c>
      <c r="T18" s="38">
        <v>35.9</v>
      </c>
      <c r="U18" s="38">
        <v>60.7</v>
      </c>
      <c r="V18" s="61">
        <f>AVERAGE(R18:T18)</f>
        <v>30.066666666666666</v>
      </c>
      <c r="W18" s="97">
        <v>90.9</v>
      </c>
      <c r="X18" s="95">
        <v>86.2</v>
      </c>
      <c r="Y18" s="99">
        <f t="shared" si="4"/>
        <v>88.550000000000011</v>
      </c>
      <c r="Z18" s="308">
        <f t="shared" si="5"/>
        <v>60.800000000000011</v>
      </c>
      <c r="AA18" s="309">
        <f t="shared" si="6"/>
        <v>60.339999999999996</v>
      </c>
    </row>
    <row r="19" spans="1:27" ht="14" x14ac:dyDescent="0.2">
      <c r="A19" s="280" t="s">
        <v>406</v>
      </c>
      <c r="B19" s="165" t="s">
        <v>358</v>
      </c>
      <c r="C19" s="313">
        <v>77.8</v>
      </c>
      <c r="D19" s="120">
        <v>36.6</v>
      </c>
      <c r="E19" s="120">
        <v>65</v>
      </c>
      <c r="F19" s="34">
        <v>26.9</v>
      </c>
      <c r="G19" s="35">
        <v>28.2</v>
      </c>
      <c r="H19" s="61">
        <v>27.7</v>
      </c>
      <c r="I19" s="165">
        <v>65.3</v>
      </c>
      <c r="J19" s="61">
        <v>26</v>
      </c>
      <c r="K19" s="35">
        <v>87</v>
      </c>
      <c r="L19" s="290">
        <v>56.5</v>
      </c>
      <c r="M19" s="61">
        <v>3.8</v>
      </c>
      <c r="N19" s="35">
        <v>15</v>
      </c>
      <c r="O19" s="61">
        <v>9.4</v>
      </c>
      <c r="P19" s="293">
        <f>AVERAGE(C19,D19,E19,F19,I19,J19)</f>
        <v>49.6</v>
      </c>
      <c r="Q19" s="147">
        <f>AVERAGE(L19,I19,H19,E19,D19,C19)</f>
        <v>54.816666666666663</v>
      </c>
      <c r="R19" s="61">
        <v>16.8</v>
      </c>
      <c r="S19" s="38">
        <v>48.4</v>
      </c>
      <c r="T19" s="38">
        <v>38.6</v>
      </c>
      <c r="U19" s="38">
        <v>62</v>
      </c>
      <c r="V19" s="61">
        <f>AVERAGE(R19:T19)</f>
        <v>34.6</v>
      </c>
      <c r="W19" s="315">
        <v>85.7</v>
      </c>
      <c r="X19" s="206">
        <v>81.7</v>
      </c>
      <c r="Y19" s="316">
        <f t="shared" si="4"/>
        <v>83.7</v>
      </c>
      <c r="Z19" s="317">
        <f>AVERAGE(V19,Q19,Y19)</f>
        <v>57.705555555555556</v>
      </c>
      <c r="AA19" s="318">
        <f>AVERAGE(C19,D19,E19,F19,I19,L19,R19,T19,W19,X19)</f>
        <v>55.090000000000011</v>
      </c>
    </row>
    <row r="20" spans="1:27" ht="14" x14ac:dyDescent="0.2">
      <c r="A20" s="280" t="s">
        <v>465</v>
      </c>
      <c r="B20" s="167" t="s">
        <v>21</v>
      </c>
      <c r="C20" s="66">
        <v>62.4</v>
      </c>
      <c r="D20" s="120">
        <v>62.4</v>
      </c>
      <c r="E20" s="120">
        <v>67.099999999999994</v>
      </c>
      <c r="F20" s="34">
        <v>58.5</v>
      </c>
      <c r="G20" s="35">
        <v>60.6</v>
      </c>
      <c r="H20" s="61">
        <v>59.7</v>
      </c>
      <c r="I20" s="165">
        <v>84</v>
      </c>
      <c r="J20" s="61">
        <v>17</v>
      </c>
      <c r="K20" s="35">
        <v>55</v>
      </c>
      <c r="L20" s="290">
        <v>36</v>
      </c>
      <c r="M20" s="61">
        <v>3.8</v>
      </c>
      <c r="N20" s="35">
        <v>32.200000000000003</v>
      </c>
      <c r="O20" s="61">
        <v>18.100000000000001</v>
      </c>
      <c r="P20" s="293">
        <f t="shared" ref="P20" si="13">AVERAGE(C20,D20,E20,F20,I20,J20)</f>
        <v>58.566666666666663</v>
      </c>
      <c r="Q20" s="139">
        <f t="shared" ref="Q20" si="14">AVERAGE(L20,I20,H20,E20,D20,C20)</f>
        <v>61.93333333333333</v>
      </c>
      <c r="R20" s="61">
        <v>4.3</v>
      </c>
      <c r="S20" s="35">
        <v>40.4</v>
      </c>
      <c r="T20" s="35">
        <v>8.8000000000000007</v>
      </c>
      <c r="U20" s="35">
        <v>40.799999999999997</v>
      </c>
      <c r="V20" s="92">
        <f>AVERAGE(R20:T20)</f>
        <v>17.833333333333332</v>
      </c>
      <c r="W20" s="315">
        <v>81.099999999999994</v>
      </c>
      <c r="X20" s="206">
        <v>77.900000000000006</v>
      </c>
      <c r="Y20" s="114">
        <f t="shared" si="4"/>
        <v>79.5</v>
      </c>
      <c r="Z20" s="308">
        <f>AVERAGE(V20,Q20,Y20)</f>
        <v>53.088888888888881</v>
      </c>
      <c r="AA20" s="309">
        <f>AVERAGE(C20,D20,E20,F20,I20,L20,R20,T20,W20,X20)</f>
        <v>54.25</v>
      </c>
    </row>
    <row r="21" spans="1:27" ht="14" x14ac:dyDescent="0.2">
      <c r="A21" s="280" t="s">
        <v>471</v>
      </c>
      <c r="B21" s="167" t="s">
        <v>21</v>
      </c>
      <c r="C21" s="66">
        <v>53.8</v>
      </c>
      <c r="D21" s="120">
        <v>60</v>
      </c>
      <c r="E21" s="120">
        <v>68.400000000000006</v>
      </c>
      <c r="F21" s="34">
        <v>38.799999999999997</v>
      </c>
      <c r="G21" s="35">
        <v>47.1</v>
      </c>
      <c r="H21" s="61">
        <v>43.5</v>
      </c>
      <c r="I21" s="165">
        <v>83.6</v>
      </c>
      <c r="J21" s="61">
        <v>14</v>
      </c>
      <c r="K21" s="35">
        <v>67</v>
      </c>
      <c r="L21" s="290">
        <v>40.5</v>
      </c>
      <c r="M21" s="61">
        <v>15.8</v>
      </c>
      <c r="N21" s="35">
        <v>39.1</v>
      </c>
      <c r="O21" s="61">
        <v>27.4</v>
      </c>
      <c r="P21" s="293">
        <f t="shared" ref="P21:P26" si="15">AVERAGE(C21,D21,E21,F21,I21,J21)</f>
        <v>53.1</v>
      </c>
      <c r="Q21" s="122">
        <f t="shared" ref="Q21:Q26" si="16">AVERAGE(L21,I21,H21,E21,D21,C21)</f>
        <v>58.300000000000004</v>
      </c>
      <c r="R21" s="61">
        <v>16.100000000000001</v>
      </c>
      <c r="S21" s="38">
        <v>41.7</v>
      </c>
      <c r="T21" s="38">
        <v>27.9</v>
      </c>
      <c r="U21" s="38">
        <v>53.5</v>
      </c>
      <c r="V21" s="61">
        <f>AVERAGE(R21:T21)</f>
        <v>28.566666666666666</v>
      </c>
      <c r="W21" s="97">
        <v>75.3</v>
      </c>
      <c r="X21" s="95">
        <v>73.900000000000006</v>
      </c>
      <c r="Y21" s="99">
        <f t="shared" si="4"/>
        <v>74.599999999999994</v>
      </c>
      <c r="Z21" s="312">
        <f>AVERAGE(V21,Q21,Y21)</f>
        <v>53.822222222222223</v>
      </c>
      <c r="AA21" s="350">
        <f>AVERAGE(C21,D21,E21,F21,I21,L21,R21,T21,W21,X21)</f>
        <v>53.830000000000005</v>
      </c>
    </row>
    <row r="22" spans="1:27" ht="14" x14ac:dyDescent="0.2">
      <c r="A22" s="280" t="s">
        <v>464</v>
      </c>
      <c r="B22" s="167" t="s">
        <v>21</v>
      </c>
      <c r="C22" s="128">
        <v>59.3</v>
      </c>
      <c r="D22" s="127">
        <v>60.4</v>
      </c>
      <c r="E22" s="127">
        <v>67.7</v>
      </c>
      <c r="F22" s="145">
        <v>57.9</v>
      </c>
      <c r="G22" s="38">
        <v>60</v>
      </c>
      <c r="H22" s="145">
        <v>59.1</v>
      </c>
      <c r="I22" s="167">
        <v>75.3</v>
      </c>
      <c r="J22" s="145">
        <v>7</v>
      </c>
      <c r="K22" s="38">
        <v>69</v>
      </c>
      <c r="L22" s="145">
        <v>38</v>
      </c>
      <c r="M22" s="285">
        <v>8.3000000000000007</v>
      </c>
      <c r="N22" s="38">
        <v>21.1</v>
      </c>
      <c r="O22" s="145">
        <v>14.7</v>
      </c>
      <c r="P22" s="292">
        <f t="shared" si="15"/>
        <v>54.599999999999994</v>
      </c>
      <c r="Q22" s="122">
        <f t="shared" si="16"/>
        <v>59.966666666666669</v>
      </c>
      <c r="R22" s="145">
        <v>11</v>
      </c>
      <c r="S22" s="38">
        <v>41.9</v>
      </c>
      <c r="T22" s="38">
        <v>6.3</v>
      </c>
      <c r="U22" s="38">
        <v>40.200000000000003</v>
      </c>
      <c r="V22" s="128">
        <f>AVERAGE(R22:T22)</f>
        <v>19.733333333333331</v>
      </c>
      <c r="W22" s="285">
        <v>72.5</v>
      </c>
      <c r="X22" s="268">
        <v>70.8</v>
      </c>
      <c r="Y22" s="145">
        <f t="shared" si="4"/>
        <v>71.650000000000006</v>
      </c>
      <c r="Z22" s="308">
        <f>AVERAGE(V22,Q22,Y22)</f>
        <v>50.45000000000001</v>
      </c>
      <c r="AA22" s="309">
        <f>AVERAGE(C22,D22,E22,F22,I22,L22,R22,T22,W22,X22)</f>
        <v>51.919999999999995</v>
      </c>
    </row>
    <row r="23" spans="1:27" ht="14" x14ac:dyDescent="0.2">
      <c r="A23" s="283" t="s">
        <v>413</v>
      </c>
      <c r="B23" s="165" t="s">
        <v>358</v>
      </c>
      <c r="C23" s="128">
        <v>52.9</v>
      </c>
      <c r="D23" s="127">
        <v>18.2</v>
      </c>
      <c r="E23" s="127">
        <v>59.5</v>
      </c>
      <c r="F23" s="37">
        <v>7.4</v>
      </c>
      <c r="G23" s="38">
        <v>7.7</v>
      </c>
      <c r="H23" s="43">
        <v>7.6</v>
      </c>
      <c r="I23" s="167">
        <v>78.8</v>
      </c>
      <c r="J23" s="37">
        <v>16</v>
      </c>
      <c r="K23" s="38">
        <v>80</v>
      </c>
      <c r="L23" s="117">
        <v>48</v>
      </c>
      <c r="M23" s="61">
        <v>1</v>
      </c>
      <c r="N23" s="38">
        <v>3</v>
      </c>
      <c r="O23" s="61">
        <v>2</v>
      </c>
      <c r="P23" s="109">
        <f t="shared" si="15"/>
        <v>38.800000000000004</v>
      </c>
      <c r="Q23" s="312">
        <f t="shared" si="16"/>
        <v>44.166666666666664</v>
      </c>
      <c r="R23" s="61">
        <v>24.1</v>
      </c>
      <c r="S23" s="38">
        <v>53.8</v>
      </c>
      <c r="T23" s="38">
        <v>49.9</v>
      </c>
      <c r="U23" s="38">
        <v>69.099999999999994</v>
      </c>
      <c r="V23" s="61">
        <f t="shared" si="10"/>
        <v>42.6</v>
      </c>
      <c r="W23" s="97">
        <v>92.6</v>
      </c>
      <c r="X23" s="95">
        <v>87.7</v>
      </c>
      <c r="Y23" s="99">
        <f t="shared" ref="Y23" si="17">AVERAGE(W23,X23)</f>
        <v>90.15</v>
      </c>
      <c r="Z23" s="308">
        <f t="shared" si="5"/>
        <v>58.972222222222229</v>
      </c>
      <c r="AA23" s="309">
        <f t="shared" si="6"/>
        <v>51.910000000000004</v>
      </c>
    </row>
    <row r="24" spans="1:27" ht="14" x14ac:dyDescent="0.2">
      <c r="A24" s="280" t="s">
        <v>461</v>
      </c>
      <c r="B24" s="167" t="s">
        <v>21</v>
      </c>
      <c r="C24" s="66">
        <v>64.900000000000006</v>
      </c>
      <c r="D24" s="120">
        <v>62.2</v>
      </c>
      <c r="E24" s="120">
        <v>65.599999999999994</v>
      </c>
      <c r="F24" s="34">
        <v>60</v>
      </c>
      <c r="G24" s="35">
        <v>62.2</v>
      </c>
      <c r="H24" s="61">
        <v>61.3</v>
      </c>
      <c r="I24" s="165">
        <v>82.1</v>
      </c>
      <c r="J24" s="34">
        <v>4</v>
      </c>
      <c r="K24" s="35">
        <v>21</v>
      </c>
      <c r="L24" s="64">
        <v>12.5</v>
      </c>
      <c r="M24" s="61">
        <v>6.8</v>
      </c>
      <c r="N24" s="35">
        <v>29.3</v>
      </c>
      <c r="O24" s="61">
        <v>18.100000000000001</v>
      </c>
      <c r="P24" s="293">
        <f t="shared" si="15"/>
        <v>56.466666666666661</v>
      </c>
      <c r="Q24" s="122">
        <f t="shared" si="16"/>
        <v>58.1</v>
      </c>
      <c r="R24" s="148">
        <v>4.5999999999999996</v>
      </c>
      <c r="S24" s="38">
        <v>39.700000000000003</v>
      </c>
      <c r="T24" s="38">
        <v>4.5999999999999996</v>
      </c>
      <c r="U24" s="38">
        <v>38.6</v>
      </c>
      <c r="V24" s="61">
        <f>AVERAGE(R24:T24)</f>
        <v>16.3</v>
      </c>
      <c r="W24" s="149">
        <v>78.3</v>
      </c>
      <c r="X24" s="150">
        <v>75.3</v>
      </c>
      <c r="Y24" s="151">
        <f>AVERAGE(W24,X24)</f>
        <v>76.8</v>
      </c>
      <c r="Z24" s="317">
        <f>AVERAGE(V24,Q24,Y24)</f>
        <v>50.4</v>
      </c>
      <c r="AA24" s="318">
        <f>AVERAGE(C24,D24,E24,F24,I24,L24,R24,T24,W24,X24)</f>
        <v>51.010000000000005</v>
      </c>
    </row>
    <row r="25" spans="1:27" ht="14" x14ac:dyDescent="0.2">
      <c r="A25" s="280" t="s">
        <v>462</v>
      </c>
      <c r="B25" s="281" t="s">
        <v>21</v>
      </c>
      <c r="C25" s="313">
        <v>62.8</v>
      </c>
      <c r="D25" s="120">
        <v>55.6</v>
      </c>
      <c r="E25" s="120">
        <v>63.1</v>
      </c>
      <c r="F25" s="34">
        <v>56.2</v>
      </c>
      <c r="G25" s="35">
        <v>58.1</v>
      </c>
      <c r="H25" s="61">
        <v>57.3</v>
      </c>
      <c r="I25" s="165">
        <v>67.7</v>
      </c>
      <c r="J25" s="34">
        <v>6</v>
      </c>
      <c r="K25" s="35">
        <v>75</v>
      </c>
      <c r="L25" s="64">
        <v>45.5</v>
      </c>
      <c r="M25" s="61">
        <v>15.8</v>
      </c>
      <c r="N25" s="35">
        <v>70.7</v>
      </c>
      <c r="O25" s="61">
        <v>43.2</v>
      </c>
      <c r="P25" s="293">
        <f t="shared" si="15"/>
        <v>51.9</v>
      </c>
      <c r="Q25" s="147">
        <f t="shared" si="16"/>
        <v>58.666666666666664</v>
      </c>
      <c r="R25" s="61">
        <v>4.0999999999999996</v>
      </c>
      <c r="S25" s="35">
        <v>40.1</v>
      </c>
      <c r="T25" s="35">
        <v>2.6</v>
      </c>
      <c r="U25" s="34">
        <v>37.799999999999997</v>
      </c>
      <c r="V25" s="61">
        <f>AVERAGE(R25:T25)</f>
        <v>15.600000000000001</v>
      </c>
      <c r="W25" s="315">
        <v>75.5</v>
      </c>
      <c r="X25" s="206">
        <v>73.5</v>
      </c>
      <c r="Y25" s="316">
        <f>AVERAGE(W25,X25)</f>
        <v>74.5</v>
      </c>
      <c r="Z25" s="317">
        <f>AVERAGE(V25,Q25,Y25)</f>
        <v>49.588888888888881</v>
      </c>
      <c r="AA25" s="318">
        <f>AVERAGE(C25,D25,E25,F25,I25,L25,R25,T25,W25,X25)</f>
        <v>50.660000000000004</v>
      </c>
    </row>
    <row r="26" spans="1:27" ht="14" x14ac:dyDescent="0.2">
      <c r="A26" s="116" t="s">
        <v>469</v>
      </c>
      <c r="B26" s="167" t="s">
        <v>358</v>
      </c>
      <c r="C26" s="128">
        <v>35.799999999999997</v>
      </c>
      <c r="D26" s="127">
        <v>21.8</v>
      </c>
      <c r="E26" s="127">
        <v>57.2</v>
      </c>
      <c r="F26" s="37">
        <v>5.5</v>
      </c>
      <c r="G26" s="44">
        <v>5.5</v>
      </c>
      <c r="H26" s="145">
        <v>5.5</v>
      </c>
      <c r="I26" s="167">
        <v>73.900000000000006</v>
      </c>
      <c r="J26" s="145">
        <v>22</v>
      </c>
      <c r="K26" s="39">
        <v>96</v>
      </c>
      <c r="L26" s="117">
        <v>59</v>
      </c>
      <c r="M26" s="145">
        <v>0</v>
      </c>
      <c r="N26" s="38">
        <v>2.2999999999999998</v>
      </c>
      <c r="O26" s="145">
        <v>1.1000000000000001</v>
      </c>
      <c r="P26" s="292">
        <f t="shared" si="15"/>
        <v>36.033333333333331</v>
      </c>
      <c r="Q26" s="202">
        <f t="shared" si="16"/>
        <v>42.20000000000001</v>
      </c>
      <c r="R26" s="145">
        <v>20.2</v>
      </c>
      <c r="S26" s="145">
        <v>52.8</v>
      </c>
      <c r="T26" s="145">
        <v>49.8</v>
      </c>
      <c r="U26" s="145">
        <v>69.599999999999994</v>
      </c>
      <c r="V26" s="145">
        <f>AVERAGE(R26:T26)</f>
        <v>40.93333333333333</v>
      </c>
      <c r="W26" s="285">
        <v>92.3</v>
      </c>
      <c r="X26" s="145">
        <v>87.9</v>
      </c>
      <c r="Y26" s="145">
        <f>AVERAGE(W26,X26)</f>
        <v>90.1</v>
      </c>
      <c r="Z26" s="319">
        <f t="shared" ref="Z26" si="18">AVERAGE(V26,Q26,Y26)</f>
        <v>57.744444444444447</v>
      </c>
      <c r="AA26" s="319">
        <f t="shared" ref="AA26" si="19">AVERAGE(C26,D26,E26,F26,I26,L26,R26,T26,W26,X26)</f>
        <v>50.339999999999996</v>
      </c>
    </row>
    <row r="27" spans="1:27" ht="14" x14ac:dyDescent="0.2">
      <c r="A27" s="89" t="s">
        <v>361</v>
      </c>
      <c r="B27" s="193" t="s">
        <v>358</v>
      </c>
      <c r="C27" s="245">
        <v>36.799999999999997</v>
      </c>
      <c r="D27" s="245">
        <v>16</v>
      </c>
      <c r="E27" s="245">
        <v>57.1</v>
      </c>
      <c r="F27" s="231">
        <v>6.2</v>
      </c>
      <c r="G27" s="268">
        <v>6.2</v>
      </c>
      <c r="H27" s="269">
        <v>6.2</v>
      </c>
      <c r="I27" s="270">
        <v>71.8</v>
      </c>
      <c r="J27" s="231">
        <v>16</v>
      </c>
      <c r="K27" s="232">
        <v>88</v>
      </c>
      <c r="L27" s="233">
        <v>52</v>
      </c>
      <c r="M27" s="148"/>
      <c r="N27" s="274"/>
      <c r="O27" s="145"/>
      <c r="P27" s="292">
        <f t="shared" ref="P27" si="20">AVERAGE(C27,D27,E27,F27,I27,J27)</f>
        <v>33.983333333333334</v>
      </c>
      <c r="Q27" s="202">
        <f t="shared" ref="Q27" si="21">AVERAGE(L27,I27,H27,E27,D27,C27)</f>
        <v>39.983333333333327</v>
      </c>
      <c r="R27" s="37">
        <v>23.3</v>
      </c>
      <c r="S27" s="38">
        <v>53</v>
      </c>
      <c r="T27" s="38">
        <v>47.2</v>
      </c>
      <c r="U27" s="277">
        <v>68.5</v>
      </c>
      <c r="V27" s="61">
        <f t="shared" si="10"/>
        <v>41.166666666666664</v>
      </c>
      <c r="W27" s="203">
        <v>91</v>
      </c>
      <c r="X27" s="204">
        <v>85.9</v>
      </c>
      <c r="Y27" s="205">
        <f t="shared" ref="Y27" si="22">AVERAGE(W27,X27)</f>
        <v>88.45</v>
      </c>
      <c r="Z27" s="308">
        <f t="shared" si="5"/>
        <v>56.533333333333331</v>
      </c>
      <c r="AA27" s="309">
        <f t="shared" si="6"/>
        <v>48.73</v>
      </c>
    </row>
    <row r="28" spans="1:27" ht="14" x14ac:dyDescent="0.2">
      <c r="A28" s="280" t="s">
        <v>472</v>
      </c>
      <c r="B28" s="167" t="s">
        <v>358</v>
      </c>
      <c r="C28" s="66">
        <v>39.4</v>
      </c>
      <c r="D28" s="120">
        <v>32.6</v>
      </c>
      <c r="E28" s="120">
        <v>57.6</v>
      </c>
      <c r="F28" s="34">
        <v>7.6</v>
      </c>
      <c r="G28" s="35">
        <v>7.7</v>
      </c>
      <c r="H28" s="61">
        <v>7.7</v>
      </c>
      <c r="I28" s="165">
        <v>73.3</v>
      </c>
      <c r="J28" s="61">
        <v>10</v>
      </c>
      <c r="K28" s="35">
        <v>40</v>
      </c>
      <c r="L28" s="290">
        <v>25</v>
      </c>
      <c r="M28" s="61">
        <v>3</v>
      </c>
      <c r="N28" s="35">
        <v>13.5</v>
      </c>
      <c r="O28" s="61">
        <v>8.3000000000000007</v>
      </c>
      <c r="P28" s="293">
        <f>AVERAGE(C28,D28,E28,F28,I28,J28)</f>
        <v>36.75</v>
      </c>
      <c r="Q28" s="135">
        <f>AVERAGE(L28,I28,H28,E28,D28,C28)</f>
        <v>39.266666666666666</v>
      </c>
      <c r="R28" s="61">
        <v>23</v>
      </c>
      <c r="S28" s="38">
        <v>53.7</v>
      </c>
      <c r="T28" s="38">
        <v>49.2</v>
      </c>
      <c r="U28" s="38">
        <v>69.8</v>
      </c>
      <c r="V28" s="61">
        <f>AVERAGE(R28:T28)</f>
        <v>41.966666666666669</v>
      </c>
      <c r="W28" s="112">
        <v>91.4</v>
      </c>
      <c r="X28" s="113">
        <v>87</v>
      </c>
      <c r="Y28" s="114">
        <f>AVERAGE(W28,X28)</f>
        <v>89.2</v>
      </c>
      <c r="Z28" s="317">
        <f>AVERAGE(V28,Q28,Y28)</f>
        <v>56.81111111111111</v>
      </c>
      <c r="AA28" s="318">
        <f>AVERAGE(C28,D28,E28,F28,I28,L28,R28,T28,W28,X28)</f>
        <v>48.61</v>
      </c>
    </row>
    <row r="29" spans="1:27" ht="15.75" customHeight="1" x14ac:dyDescent="0.2">
      <c r="A29" s="280" t="s">
        <v>463</v>
      </c>
      <c r="B29" s="288" t="s">
        <v>21</v>
      </c>
      <c r="C29" s="297">
        <v>64.400000000000006</v>
      </c>
      <c r="D29" s="298">
        <v>49.8</v>
      </c>
      <c r="E29" s="298">
        <v>65.099999999999994</v>
      </c>
      <c r="F29" s="299">
        <v>34.4</v>
      </c>
      <c r="G29" s="300">
        <v>35.799999999999997</v>
      </c>
      <c r="H29" s="301">
        <v>35.200000000000003</v>
      </c>
      <c r="I29" s="296">
        <v>71</v>
      </c>
      <c r="J29" s="302">
        <v>2</v>
      </c>
      <c r="K29" s="303">
        <v>26</v>
      </c>
      <c r="L29" s="302">
        <v>14</v>
      </c>
      <c r="M29" s="286">
        <v>5.3</v>
      </c>
      <c r="N29" s="303">
        <v>54.1</v>
      </c>
      <c r="O29" s="302">
        <v>29.7</v>
      </c>
      <c r="P29" s="298">
        <f>AVERAGE(C29,D29,E29,F29,I29,J29)</f>
        <v>47.783333333333339</v>
      </c>
      <c r="Q29" s="304">
        <f>AVERAGE(L29,I29,H29,E29,D29,C29)</f>
        <v>49.916666666666664</v>
      </c>
      <c r="R29" s="305">
        <v>14.6</v>
      </c>
      <c r="S29" s="327">
        <v>40.700000000000003</v>
      </c>
      <c r="T29" s="327">
        <v>13.8</v>
      </c>
      <c r="U29" s="306">
        <v>45.3</v>
      </c>
      <c r="V29" s="307">
        <f>AVERAGE(R29:T29)</f>
        <v>23.033333333333335</v>
      </c>
      <c r="W29" s="286">
        <v>68.900000000000006</v>
      </c>
      <c r="X29" s="328">
        <v>66</v>
      </c>
      <c r="Y29" s="302">
        <f>AVERAGE(W29,X29)</f>
        <v>67.45</v>
      </c>
      <c r="Z29" s="287">
        <f>AVERAGE(V29,Q29,Y29)</f>
        <v>46.800000000000004</v>
      </c>
      <c r="AA29" s="287">
        <f>AVERAGE(C29,D29,E29,F29,I29,L29,R29,T29,W29,X29)</f>
        <v>46.20000000000001</v>
      </c>
    </row>
    <row r="30" spans="1:27" ht="14" x14ac:dyDescent="0.2">
      <c r="A30" s="116" t="s">
        <v>362</v>
      </c>
      <c r="B30" s="128" t="s">
        <v>358</v>
      </c>
      <c r="C30" s="127">
        <v>59.7</v>
      </c>
      <c r="D30" s="127">
        <v>12</v>
      </c>
      <c r="E30" s="127">
        <v>42.1</v>
      </c>
      <c r="F30" s="37">
        <v>7.8</v>
      </c>
      <c r="G30" s="38">
        <v>8</v>
      </c>
      <c r="H30" s="44">
        <v>7.9</v>
      </c>
      <c r="I30" s="167">
        <v>73.599999999999994</v>
      </c>
      <c r="J30" s="37">
        <v>18</v>
      </c>
      <c r="K30" s="38">
        <v>64</v>
      </c>
      <c r="L30" s="117">
        <v>41</v>
      </c>
      <c r="M30" s="145">
        <v>3.8</v>
      </c>
      <c r="N30" s="38">
        <v>14.3</v>
      </c>
      <c r="O30" s="145">
        <v>9</v>
      </c>
      <c r="P30" s="292">
        <f t="shared" ref="P30" si="23">AVERAGE(C30,D30,E30,F30,I30,J30)</f>
        <v>35.533333333333331</v>
      </c>
      <c r="Q30" s="202">
        <f t="shared" ref="Q30" si="24">AVERAGE(L30,I30,H30,E30,D30,C30)</f>
        <v>39.383333333333333</v>
      </c>
      <c r="R30" s="267">
        <v>16.100000000000001</v>
      </c>
      <c r="S30" s="145">
        <v>47.9</v>
      </c>
      <c r="T30" s="44">
        <v>29.1</v>
      </c>
      <c r="U30" s="145">
        <v>58.3</v>
      </c>
      <c r="V30" s="145">
        <f t="shared" si="10"/>
        <v>31.033333333333331</v>
      </c>
      <c r="W30" s="203">
        <v>86.2</v>
      </c>
      <c r="X30" s="204">
        <v>82.7</v>
      </c>
      <c r="Y30" s="205">
        <f t="shared" ref="Y30" si="25">AVERAGE(W30,X30)</f>
        <v>84.45</v>
      </c>
      <c r="Z30" s="319">
        <f t="shared" si="5"/>
        <v>51.622222222222227</v>
      </c>
      <c r="AA30" s="319">
        <f t="shared" si="6"/>
        <v>45.029999999999994</v>
      </c>
    </row>
    <row r="31" spans="1:27" ht="14" x14ac:dyDescent="0.2">
      <c r="A31" s="280" t="s">
        <v>470</v>
      </c>
      <c r="B31" s="165" t="s">
        <v>21</v>
      </c>
      <c r="C31" s="66">
        <v>38.5</v>
      </c>
      <c r="D31" s="120">
        <v>27.8</v>
      </c>
      <c r="E31" s="120">
        <v>45.6</v>
      </c>
      <c r="F31" s="34">
        <v>33.4</v>
      </c>
      <c r="G31" s="35">
        <v>38.4</v>
      </c>
      <c r="H31" s="61">
        <v>36.299999999999997</v>
      </c>
      <c r="I31" s="165">
        <v>87.4</v>
      </c>
      <c r="J31" s="61">
        <v>1</v>
      </c>
      <c r="K31" s="35">
        <v>20</v>
      </c>
      <c r="L31" s="290">
        <v>10.5</v>
      </c>
      <c r="M31" s="61">
        <v>4.5</v>
      </c>
      <c r="N31" s="35">
        <v>21.1</v>
      </c>
      <c r="O31" s="61">
        <v>12.8</v>
      </c>
      <c r="P31" s="293">
        <f>AVERAGE(C31,D31,E31,F31,I31,J31)</f>
        <v>38.950000000000003</v>
      </c>
      <c r="Q31" s="147">
        <f>AVERAGE(L31,I31,H31,E31,D31,C31)</f>
        <v>41.016666666666666</v>
      </c>
      <c r="R31" s="61">
        <v>18.7</v>
      </c>
      <c r="S31" s="38">
        <v>41.6</v>
      </c>
      <c r="T31" s="38">
        <v>27.7</v>
      </c>
      <c r="U31" s="38">
        <v>53.4</v>
      </c>
      <c r="V31" s="61">
        <f>AVERAGE(R31:T31)</f>
        <v>29.333333333333332</v>
      </c>
      <c r="W31" s="97">
        <v>74.7</v>
      </c>
      <c r="X31" s="95">
        <v>73.400000000000006</v>
      </c>
      <c r="Y31" s="316">
        <f>AVERAGE(W31,X31)</f>
        <v>74.050000000000011</v>
      </c>
      <c r="Z31" s="317">
        <f>AVERAGE(V31,Q31,Y31)</f>
        <v>48.133333333333333</v>
      </c>
      <c r="AA31" s="318">
        <f>AVERAGE(C31,D31,E31,F31,I31,L31,R31,T31,W31,X31)</f>
        <v>43.77</v>
      </c>
    </row>
    <row r="32" spans="1:27" ht="14" x14ac:dyDescent="0.2">
      <c r="A32" s="280" t="s">
        <v>467</v>
      </c>
      <c r="B32" s="167" t="s">
        <v>21</v>
      </c>
      <c r="C32" s="66">
        <v>41.5</v>
      </c>
      <c r="D32" s="120">
        <v>23</v>
      </c>
      <c r="E32" s="120">
        <v>52.2</v>
      </c>
      <c r="F32" s="34">
        <v>50.7</v>
      </c>
      <c r="G32" s="35">
        <v>54.8</v>
      </c>
      <c r="H32" s="61">
        <v>53</v>
      </c>
      <c r="I32" s="165">
        <v>81.2</v>
      </c>
      <c r="J32" s="61">
        <v>1</v>
      </c>
      <c r="K32" s="35">
        <v>24</v>
      </c>
      <c r="L32" s="290">
        <v>12.5</v>
      </c>
      <c r="M32" s="61">
        <v>10.5</v>
      </c>
      <c r="N32" s="35">
        <v>28.6</v>
      </c>
      <c r="O32" s="61">
        <v>19.600000000000001</v>
      </c>
      <c r="P32" s="293">
        <f>AVERAGE(C32,D32,E32,F32,I32,J32)</f>
        <v>41.6</v>
      </c>
      <c r="Q32" s="147">
        <f>AVERAGE(L32,I32,H32,E32,D32,C32)</f>
        <v>43.9</v>
      </c>
      <c r="R32" s="61">
        <v>5.7</v>
      </c>
      <c r="S32" s="38">
        <v>41.6</v>
      </c>
      <c r="T32" s="38">
        <v>5.4</v>
      </c>
      <c r="U32" s="38">
        <v>41.4</v>
      </c>
      <c r="V32" s="61">
        <f>AVERAGE(R32:T32)</f>
        <v>17.566666666666666</v>
      </c>
      <c r="W32" s="97">
        <v>78</v>
      </c>
      <c r="X32" s="95">
        <v>75.400000000000006</v>
      </c>
      <c r="Y32" s="316">
        <f>AVERAGE(W32,X32)</f>
        <v>76.7</v>
      </c>
      <c r="Z32" s="317">
        <f>AVERAGE(V32,Q32,Y32)</f>
        <v>46.055555555555564</v>
      </c>
      <c r="AA32" s="318">
        <f>AVERAGE(C32,D32,E32,F32,I32,L32,R32,T32,W32,X32)</f>
        <v>42.56</v>
      </c>
    </row>
    <row r="33" spans="1:27" ht="15.75" customHeight="1" thickBot="1" x14ac:dyDescent="0.25">
      <c r="A33" s="333" t="s">
        <v>468</v>
      </c>
      <c r="B33" s="334" t="s">
        <v>358</v>
      </c>
      <c r="C33" s="335">
        <v>18.100000000000001</v>
      </c>
      <c r="D33" s="336">
        <v>25.2</v>
      </c>
      <c r="E33" s="336">
        <v>38.5</v>
      </c>
      <c r="F33" s="337">
        <v>6.9</v>
      </c>
      <c r="G33" s="338">
        <v>7</v>
      </c>
      <c r="H33" s="339">
        <v>7</v>
      </c>
      <c r="I33" s="340">
        <v>84.6</v>
      </c>
      <c r="J33" s="341">
        <v>6</v>
      </c>
      <c r="K33" s="342">
        <v>39</v>
      </c>
      <c r="L33" s="343">
        <v>22.5</v>
      </c>
      <c r="M33" s="341">
        <v>0.8</v>
      </c>
      <c r="N33" s="341">
        <v>24.8</v>
      </c>
      <c r="O33" s="341">
        <v>12.8</v>
      </c>
      <c r="P33" s="336">
        <f>AVERAGE(C33,D33,E33,F33,I33,J33)</f>
        <v>29.883333333333336</v>
      </c>
      <c r="Q33" s="344">
        <f>AVERAGE(L33,I33,H33,E33,D33,C33)</f>
        <v>32.65</v>
      </c>
      <c r="R33" s="347">
        <v>37.5</v>
      </c>
      <c r="S33" s="348">
        <v>65.400000000000006</v>
      </c>
      <c r="T33" s="348">
        <v>61.2</v>
      </c>
      <c r="U33" s="348">
        <v>76.599999999999994</v>
      </c>
      <c r="V33" s="349">
        <f>AVERAGE(R33:T33)</f>
        <v>54.70000000000001</v>
      </c>
      <c r="W33" s="345">
        <v>20.2</v>
      </c>
      <c r="X33" s="341">
        <v>19.7</v>
      </c>
      <c r="Y33" s="341">
        <f>AVERAGE(W33,X33)</f>
        <v>19.95</v>
      </c>
      <c r="Z33" s="242">
        <f>AVERAGE(V33,Q33,Y33)</f>
        <v>35.766666666666673</v>
      </c>
      <c r="AA33" s="346">
        <f>AVERAGE(C33,D33,E33,F33,I33,L33,R33,T33,W33,X33)</f>
        <v>33.44</v>
      </c>
    </row>
  </sheetData>
  <mergeCells count="25">
    <mergeCell ref="A2:A4"/>
    <mergeCell ref="B2:B4"/>
    <mergeCell ref="F2:H2"/>
    <mergeCell ref="J2:O2"/>
    <mergeCell ref="P2:P4"/>
    <mergeCell ref="W1:Y1"/>
    <mergeCell ref="Z1:Z4"/>
    <mergeCell ref="AA1:AA4"/>
    <mergeCell ref="W2:W4"/>
    <mergeCell ref="X2:X4"/>
    <mergeCell ref="Y2:Y4"/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ED615-136E-8347-9A76-D08A1FC126B7}">
  <sheetPr>
    <outlinePr summaryBelow="0" summaryRight="0"/>
  </sheetPr>
  <dimension ref="A1:AA44"/>
  <sheetViews>
    <sheetView zoomScale="130" zoomScaleNormal="130" workbookViewId="0">
      <selection activeCell="R22" sqref="R22:Y22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44" t="s">
        <v>384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6"/>
      <c r="R1" s="744" t="s">
        <v>378</v>
      </c>
      <c r="S1" s="745"/>
      <c r="T1" s="745"/>
      <c r="U1" s="745"/>
      <c r="V1" s="745"/>
      <c r="W1" s="744" t="s">
        <v>399</v>
      </c>
      <c r="X1" s="689"/>
      <c r="Y1" s="690"/>
      <c r="Z1" s="691" t="s">
        <v>385</v>
      </c>
      <c r="AA1" s="691" t="s">
        <v>393</v>
      </c>
    </row>
    <row r="2" spans="1:27" ht="15" thickBot="1" x14ac:dyDescent="0.25">
      <c r="A2" s="738" t="s">
        <v>0</v>
      </c>
      <c r="B2" s="741" t="s">
        <v>1</v>
      </c>
      <c r="C2" s="103" t="s">
        <v>2</v>
      </c>
      <c r="D2" s="103" t="s">
        <v>3</v>
      </c>
      <c r="E2" s="103" t="s">
        <v>4</v>
      </c>
      <c r="F2" s="731" t="s">
        <v>5</v>
      </c>
      <c r="G2" s="732"/>
      <c r="H2" s="733"/>
      <c r="I2" s="104" t="s">
        <v>367</v>
      </c>
      <c r="J2" s="734" t="s">
        <v>420</v>
      </c>
      <c r="K2" s="735"/>
      <c r="L2" s="735"/>
      <c r="M2" s="736"/>
      <c r="N2" s="736"/>
      <c r="O2" s="737"/>
      <c r="P2" s="715" t="s">
        <v>409</v>
      </c>
      <c r="Q2" s="718" t="s">
        <v>408</v>
      </c>
      <c r="R2" s="721" t="s">
        <v>381</v>
      </c>
      <c r="S2" s="722"/>
      <c r="T2" s="722"/>
      <c r="U2" s="722"/>
      <c r="V2" s="723"/>
      <c r="W2" s="750" t="s">
        <v>400</v>
      </c>
      <c r="X2" s="750" t="s">
        <v>401</v>
      </c>
      <c r="Y2" s="750" t="s">
        <v>402</v>
      </c>
      <c r="Z2" s="729"/>
      <c r="AA2" s="729"/>
    </row>
    <row r="3" spans="1:27" ht="14" customHeight="1" thickBot="1" x14ac:dyDescent="0.2">
      <c r="A3" s="739"/>
      <c r="B3" s="742"/>
      <c r="C3" s="747" t="s">
        <v>9</v>
      </c>
      <c r="D3" s="708" t="s">
        <v>10</v>
      </c>
      <c r="E3" s="708" t="s">
        <v>11</v>
      </c>
      <c r="F3" s="710" t="s">
        <v>12</v>
      </c>
      <c r="G3" s="711"/>
      <c r="H3" s="712"/>
      <c r="I3" s="713" t="s">
        <v>13</v>
      </c>
      <c r="J3" s="698" t="s">
        <v>421</v>
      </c>
      <c r="K3" s="699"/>
      <c r="L3" s="699"/>
      <c r="M3" s="698" t="s">
        <v>422</v>
      </c>
      <c r="N3" s="699"/>
      <c r="O3" s="700"/>
      <c r="P3" s="716"/>
      <c r="Q3" s="719"/>
      <c r="R3" s="703" t="s">
        <v>380</v>
      </c>
      <c r="S3" s="700"/>
      <c r="T3" s="703" t="s">
        <v>379</v>
      </c>
      <c r="U3" s="700"/>
      <c r="V3" s="704" t="s">
        <v>382</v>
      </c>
      <c r="W3" s="751"/>
      <c r="X3" s="751"/>
      <c r="Y3" s="751"/>
      <c r="Z3" s="729"/>
      <c r="AA3" s="729"/>
    </row>
    <row r="4" spans="1:27" ht="14" thickBot="1" x14ac:dyDescent="0.2">
      <c r="A4" s="740"/>
      <c r="B4" s="743"/>
      <c r="C4" s="709"/>
      <c r="D4" s="709"/>
      <c r="E4" s="709"/>
      <c r="F4" s="86" t="s">
        <v>368</v>
      </c>
      <c r="G4" s="88" t="s">
        <v>369</v>
      </c>
      <c r="H4" s="88" t="s">
        <v>370</v>
      </c>
      <c r="I4" s="71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17"/>
      <c r="Q4" s="720"/>
      <c r="R4" s="78" t="s">
        <v>387</v>
      </c>
      <c r="S4" s="79" t="s">
        <v>388</v>
      </c>
      <c r="T4" s="76" t="s">
        <v>387</v>
      </c>
      <c r="U4" s="77" t="s">
        <v>388</v>
      </c>
      <c r="V4" s="705"/>
      <c r="W4" s="752"/>
      <c r="X4" s="752"/>
      <c r="Y4" s="752"/>
      <c r="Z4" s="730"/>
      <c r="AA4" s="730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:P18" si="1">AVERAGE(C6,D6,E6,F6,I6,J6)</f>
        <v>68.183333333333323</v>
      </c>
      <c r="Q6" s="254">
        <f t="shared" ref="Q6:Q18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71"/>
      <c r="O7" s="61"/>
      <c r="P7" s="119">
        <f t="shared" si="1"/>
        <v>68.149999999999991</v>
      </c>
      <c r="Q7" s="122">
        <f t="shared" si="2"/>
        <v>71.233333333333334</v>
      </c>
      <c r="R7" s="37">
        <v>28.5</v>
      </c>
      <c r="S7" s="275">
        <v>56.7</v>
      </c>
      <c r="T7" s="274">
        <v>55.9</v>
      </c>
      <c r="U7" s="38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4" si="3">AVERAGE(V7,Q7,Y7)</f>
        <v>70.188888888888883</v>
      </c>
      <c r="AA7" s="144">
        <f t="shared" ref="AA7:AA44" si="4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38"/>
      <c r="O8" s="61"/>
      <c r="P8" s="120">
        <f>AVERAGE(C8,D8,E8,F8,I8,J8)</f>
        <v>58.466666666666669</v>
      </c>
      <c r="Q8" s="122">
        <f>AVERAGE(L8,I8,H8,E8,D8,C8)</f>
        <v>63.216666666666661</v>
      </c>
      <c r="R8" s="34">
        <v>28.3</v>
      </c>
      <c r="S8" s="61">
        <v>57.2</v>
      </c>
      <c r="T8" s="34">
        <v>56.1</v>
      </c>
      <c r="U8" s="35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3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4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38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34">
        <v>27.7</v>
      </c>
      <c r="S9" s="61">
        <v>56.8</v>
      </c>
      <c r="T9" s="34">
        <v>56.6</v>
      </c>
      <c r="U9" s="36">
        <v>73.900000000000006</v>
      </c>
      <c r="V9" s="61">
        <f t="shared" ref="V9:V44" si="5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3"/>
        <v>67.216666666666669</v>
      </c>
      <c r="AA9" s="144">
        <f t="shared" ref="AA9:AA10" si="6">AVERAGE(C9,D9,E9,F9,I9,L9,R9,T9,W9,X9)</f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38">
        <v>56.8</v>
      </c>
      <c r="H10" s="61">
        <v>56</v>
      </c>
      <c r="I10" s="167">
        <v>83.9</v>
      </c>
      <c r="J10" s="37">
        <v>6</v>
      </c>
      <c r="K10" s="39">
        <v>89</v>
      </c>
      <c r="L10" s="117">
        <v>47.5</v>
      </c>
      <c r="M10" s="61">
        <v>3</v>
      </c>
      <c r="N10" s="35">
        <v>3.8</v>
      </c>
      <c r="O10" s="61">
        <v>3.4</v>
      </c>
      <c r="P10" s="120">
        <f t="shared" si="1"/>
        <v>57.116666666666674</v>
      </c>
      <c r="Q10" s="122">
        <f t="shared" si="2"/>
        <v>64.25</v>
      </c>
      <c r="R10" s="34">
        <v>24.1</v>
      </c>
      <c r="S10" s="275">
        <v>47.6</v>
      </c>
      <c r="T10" s="272">
        <v>41.3</v>
      </c>
      <c r="U10" s="35">
        <v>62.4</v>
      </c>
      <c r="V10" s="61">
        <f t="shared" si="5"/>
        <v>37.666666666666664</v>
      </c>
      <c r="W10" s="97">
        <v>89</v>
      </c>
      <c r="X10" s="95">
        <v>83.9</v>
      </c>
      <c r="Y10" s="99">
        <f t="shared" ref="Y10:Y41" si="7">AVERAGE(W10,X10)</f>
        <v>86.45</v>
      </c>
      <c r="Z10" s="143">
        <f t="shared" si="3"/>
        <v>62.788888888888891</v>
      </c>
      <c r="AA10" s="144">
        <f t="shared" si="6"/>
        <v>62.250000000000014</v>
      </c>
    </row>
    <row r="11" spans="1:27" ht="14" x14ac:dyDescent="0.2">
      <c r="A11" s="47" t="s">
        <v>460</v>
      </c>
      <c r="B11" s="66" t="s">
        <v>21</v>
      </c>
      <c r="C11" s="127">
        <v>70.400000000000006</v>
      </c>
      <c r="D11" s="127">
        <v>61</v>
      </c>
      <c r="E11" s="127">
        <v>66.900000000000006</v>
      </c>
      <c r="F11" s="37">
        <v>56.4</v>
      </c>
      <c r="G11" s="38">
        <v>59.2</v>
      </c>
      <c r="H11" s="61">
        <v>58</v>
      </c>
      <c r="I11" s="167">
        <v>83.1</v>
      </c>
      <c r="J11" s="37">
        <v>14</v>
      </c>
      <c r="K11" s="38">
        <v>86</v>
      </c>
      <c r="L11" s="117">
        <v>50</v>
      </c>
      <c r="M11" s="61">
        <v>2.2999999999999998</v>
      </c>
      <c r="N11" s="35">
        <v>4.5</v>
      </c>
      <c r="O11" s="61">
        <v>3.4</v>
      </c>
      <c r="P11" s="120">
        <f t="shared" ref="P11" si="8">AVERAGE(C11,D11,E11,F11,I11,J11)</f>
        <v>58.633333333333333</v>
      </c>
      <c r="Q11" s="122">
        <f t="shared" ref="Q11" si="9">AVERAGE(L11,I11,H11,E11,D11,C11)</f>
        <v>64.899999999999991</v>
      </c>
      <c r="R11" s="34">
        <v>23.5</v>
      </c>
      <c r="S11" s="61">
        <v>47.8</v>
      </c>
      <c r="T11" s="34">
        <v>35.5</v>
      </c>
      <c r="U11" s="35">
        <v>59.4</v>
      </c>
      <c r="V11" s="61">
        <f>AVERAGE(R11:T11)</f>
        <v>35.6</v>
      </c>
      <c r="W11" s="97">
        <v>88.8</v>
      </c>
      <c r="X11" s="95">
        <v>84</v>
      </c>
      <c r="Y11" s="99">
        <f>AVERAGE(W11,X11)</f>
        <v>86.4</v>
      </c>
      <c r="Z11" s="143">
        <f>AVERAGE(V11,Q11,Y11)</f>
        <v>62.300000000000004</v>
      </c>
      <c r="AA11" s="144">
        <f>AVERAGE(C11,D11,E11,F11,I11,L11,R11,T11,W11,X11)</f>
        <v>61.96</v>
      </c>
    </row>
    <row r="12" spans="1:27" ht="14" x14ac:dyDescent="0.2">
      <c r="A12" s="49" t="s">
        <v>458</v>
      </c>
      <c r="B12" s="66" t="s">
        <v>21</v>
      </c>
      <c r="C12" s="120">
        <v>71.599999999999994</v>
      </c>
      <c r="D12" s="120">
        <v>62</v>
      </c>
      <c r="E12" s="120">
        <v>68.3</v>
      </c>
      <c r="F12" s="34">
        <v>59.1</v>
      </c>
      <c r="G12" s="35">
        <v>62.1</v>
      </c>
      <c r="H12" s="61">
        <v>60.8</v>
      </c>
      <c r="I12" s="165">
        <v>80.7</v>
      </c>
      <c r="J12" s="34">
        <v>12</v>
      </c>
      <c r="K12" s="35">
        <v>87</v>
      </c>
      <c r="L12" s="64">
        <v>49.5</v>
      </c>
      <c r="M12" s="61">
        <v>15</v>
      </c>
      <c r="N12" s="35">
        <v>68.400000000000006</v>
      </c>
      <c r="O12" s="61">
        <v>41.7</v>
      </c>
      <c r="P12" s="120">
        <f t="shared" ref="P12" si="10">AVERAGE(C12,D12,E12,F12,I12,J12)</f>
        <v>58.949999999999996</v>
      </c>
      <c r="Q12" s="122">
        <f t="shared" ref="Q12" si="11">AVERAGE(L12,I12,H12,E12,D12,C12)</f>
        <v>65.483333333333334</v>
      </c>
      <c r="R12" s="34">
        <v>10.5</v>
      </c>
      <c r="S12" s="61">
        <v>44.5</v>
      </c>
      <c r="T12" s="34">
        <v>35</v>
      </c>
      <c r="U12" s="35">
        <v>60.2</v>
      </c>
      <c r="V12" s="61">
        <f>AVERAGE(R12:T12)</f>
        <v>30</v>
      </c>
      <c r="W12" s="97">
        <v>89.8</v>
      </c>
      <c r="X12" s="95">
        <v>85.4</v>
      </c>
      <c r="Y12" s="99">
        <f>AVERAGE(W12,X12)</f>
        <v>87.6</v>
      </c>
      <c r="Z12" s="143">
        <f>AVERAGE(V12,Q12,Y12)</f>
        <v>61.027777777777771</v>
      </c>
      <c r="AA12" s="144">
        <f>AVERAGE(C12,D12,E12,F12,I12,L12,R12,T12,W12,X12)</f>
        <v>61.19</v>
      </c>
    </row>
    <row r="13" spans="1:27" ht="14" x14ac:dyDescent="0.2">
      <c r="A13" s="47" t="s">
        <v>451</v>
      </c>
      <c r="B13" s="66" t="s">
        <v>21</v>
      </c>
      <c r="C13" s="127">
        <v>68.3</v>
      </c>
      <c r="D13" s="127">
        <v>57</v>
      </c>
      <c r="E13" s="127">
        <v>70.099999999999994</v>
      </c>
      <c r="F13" s="37">
        <v>58.9</v>
      </c>
      <c r="G13" s="38">
        <v>61.1</v>
      </c>
      <c r="H13" s="61">
        <v>60.2</v>
      </c>
      <c r="I13" s="167">
        <v>82.6</v>
      </c>
      <c r="J13" s="37">
        <v>12</v>
      </c>
      <c r="K13" s="38">
        <v>84</v>
      </c>
      <c r="L13" s="117">
        <v>48</v>
      </c>
      <c r="M13" s="61">
        <v>8.3000000000000007</v>
      </c>
      <c r="N13" s="35">
        <v>27.8</v>
      </c>
      <c r="O13" s="61">
        <v>18.100000000000001</v>
      </c>
      <c r="P13" s="120">
        <f t="shared" si="1"/>
        <v>58.15</v>
      </c>
      <c r="Q13" s="122">
        <f t="shared" si="2"/>
        <v>64.36666666666666</v>
      </c>
      <c r="R13" s="34">
        <v>22.2</v>
      </c>
      <c r="S13" s="61">
        <v>43</v>
      </c>
      <c r="T13" s="34">
        <v>32.1</v>
      </c>
      <c r="U13" s="35">
        <v>56</v>
      </c>
      <c r="V13" s="61">
        <f t="shared" si="5"/>
        <v>32.433333333333337</v>
      </c>
      <c r="W13" s="97">
        <v>87.6</v>
      </c>
      <c r="X13" s="95">
        <v>83</v>
      </c>
      <c r="Y13" s="99">
        <f t="shared" si="7"/>
        <v>85.3</v>
      </c>
      <c r="Z13" s="143">
        <f t="shared" si="3"/>
        <v>60.699999999999996</v>
      </c>
      <c r="AA13" s="144">
        <f t="shared" si="4"/>
        <v>60.98</v>
      </c>
    </row>
    <row r="14" spans="1:27" ht="14" x14ac:dyDescent="0.2">
      <c r="A14" s="49" t="s">
        <v>446</v>
      </c>
      <c r="B14" s="66" t="s">
        <v>21</v>
      </c>
      <c r="C14" s="120">
        <v>63.2</v>
      </c>
      <c r="D14" s="120">
        <v>62.4</v>
      </c>
      <c r="E14" s="120">
        <v>66.8</v>
      </c>
      <c r="F14" s="34">
        <v>49.4</v>
      </c>
      <c r="G14" s="35">
        <v>51.1</v>
      </c>
      <c r="H14" s="61">
        <v>50.4</v>
      </c>
      <c r="I14" s="165">
        <v>82.7</v>
      </c>
      <c r="J14" s="34">
        <v>7</v>
      </c>
      <c r="K14" s="35">
        <v>87</v>
      </c>
      <c r="L14" s="64">
        <v>47</v>
      </c>
      <c r="M14" s="61">
        <v>2.2999999999999998</v>
      </c>
      <c r="N14" s="35">
        <v>3.8</v>
      </c>
      <c r="O14" s="61">
        <v>3</v>
      </c>
      <c r="P14" s="120">
        <f t="shared" si="1"/>
        <v>55.25</v>
      </c>
      <c r="Q14" s="122">
        <f t="shared" si="2"/>
        <v>62.083333333333321</v>
      </c>
      <c r="R14" s="34">
        <v>23.5</v>
      </c>
      <c r="S14" s="61">
        <v>47.2</v>
      </c>
      <c r="T14" s="34">
        <v>41.8</v>
      </c>
      <c r="U14" s="35">
        <v>62.7</v>
      </c>
      <c r="V14" s="61">
        <f t="shared" si="5"/>
        <v>37.5</v>
      </c>
      <c r="W14" s="97">
        <v>89.4</v>
      </c>
      <c r="X14" s="95">
        <v>84.2</v>
      </c>
      <c r="Y14" s="99">
        <f>AVERAGE(W14,X14)</f>
        <v>86.800000000000011</v>
      </c>
      <c r="Z14" s="143">
        <f t="shared" si="3"/>
        <v>62.127777777777773</v>
      </c>
      <c r="AA14" s="144">
        <f t="shared" si="4"/>
        <v>61.040000000000006</v>
      </c>
    </row>
    <row r="15" spans="1:27" ht="14" x14ac:dyDescent="0.2">
      <c r="A15" s="47" t="s">
        <v>452</v>
      </c>
      <c r="B15" s="66" t="s">
        <v>21</v>
      </c>
      <c r="C15" s="162">
        <v>70.599999999999994</v>
      </c>
      <c r="D15" s="127">
        <v>55.2</v>
      </c>
      <c r="E15" s="162">
        <v>69.599999999999994</v>
      </c>
      <c r="F15" s="124">
        <v>57.6</v>
      </c>
      <c r="G15" s="40">
        <v>59.6</v>
      </c>
      <c r="H15" s="61">
        <v>58.7</v>
      </c>
      <c r="I15" s="168">
        <v>82.9</v>
      </c>
      <c r="J15" s="37">
        <v>11</v>
      </c>
      <c r="K15" s="38">
        <v>83</v>
      </c>
      <c r="L15" s="117">
        <v>47</v>
      </c>
      <c r="M15" s="61">
        <v>2.2999999999999998</v>
      </c>
      <c r="N15" s="35">
        <v>26.3</v>
      </c>
      <c r="O15" s="61">
        <v>14.3</v>
      </c>
      <c r="P15" s="120">
        <f>AVERAGE(C15,D15,E15,F15,I15,J15)</f>
        <v>57.816666666666663</v>
      </c>
      <c r="Q15" s="122">
        <f>AVERAGE(L15,I15,H15,E15,D15,C15)</f>
        <v>64</v>
      </c>
      <c r="R15" s="34">
        <v>22.3</v>
      </c>
      <c r="S15" s="61">
        <v>42.8</v>
      </c>
      <c r="T15" s="34">
        <v>33.799999999999997</v>
      </c>
      <c r="U15" s="35">
        <v>57</v>
      </c>
      <c r="V15" s="61">
        <f t="shared" si="5"/>
        <v>32.966666666666661</v>
      </c>
      <c r="W15" s="97">
        <v>87.3</v>
      </c>
      <c r="X15" s="95">
        <v>82.8</v>
      </c>
      <c r="Y15" s="99">
        <f>AVERAGE(W15,X15)</f>
        <v>85.05</v>
      </c>
      <c r="Z15" s="143">
        <f>AVERAGE(V15,Q15,Y15)</f>
        <v>60.672222222222217</v>
      </c>
      <c r="AA15" s="144">
        <f t="shared" si="4"/>
        <v>60.909999999999989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4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35">
        <v>3</v>
      </c>
      <c r="O16" s="61">
        <v>2.6</v>
      </c>
      <c r="P16" s="120">
        <f t="shared" si="1"/>
        <v>55.283333333333339</v>
      </c>
      <c r="Q16" s="122">
        <f t="shared" si="2"/>
        <v>62.300000000000004</v>
      </c>
      <c r="R16" s="34">
        <v>22.5</v>
      </c>
      <c r="S16" s="61">
        <v>46.3</v>
      </c>
      <c r="T16" s="34">
        <v>39.5</v>
      </c>
      <c r="U16" s="35">
        <v>61.1</v>
      </c>
      <c r="V16" s="61">
        <f t="shared" si="5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3"/>
        <v>61.449999999999996</v>
      </c>
      <c r="AA16" s="144">
        <f t="shared" si="4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61">
        <f t="shared" ref="H17" si="12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35"/>
      <c r="O17" s="61"/>
      <c r="P17" s="120">
        <f t="shared" si="1"/>
        <v>52.932249999999989</v>
      </c>
      <c r="Q17" s="122">
        <f t="shared" si="2"/>
        <v>57.682250000000003</v>
      </c>
      <c r="R17" s="34">
        <v>30.3</v>
      </c>
      <c r="S17" s="61">
        <v>60.2</v>
      </c>
      <c r="T17" s="34">
        <v>48</v>
      </c>
      <c r="U17" s="35">
        <v>67.099999999999994</v>
      </c>
      <c r="V17" s="61">
        <f t="shared" si="5"/>
        <v>46.166666666666664</v>
      </c>
      <c r="W17" s="97">
        <v>93.5</v>
      </c>
      <c r="X17" s="95">
        <v>88.6</v>
      </c>
      <c r="Y17" s="99">
        <f>AVERAGE(W17,X17)</f>
        <v>91.05</v>
      </c>
      <c r="Z17" s="308">
        <f t="shared" si="3"/>
        <v>64.96630555555555</v>
      </c>
      <c r="AA17" s="309">
        <f t="shared" si="4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38">
        <v>58.5</v>
      </c>
      <c r="H18" s="6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35">
        <v>6</v>
      </c>
      <c r="O18" s="61">
        <v>4.0999999999999996</v>
      </c>
      <c r="P18" s="120">
        <f t="shared" si="1"/>
        <v>57.216666666666669</v>
      </c>
      <c r="Q18" s="122">
        <f t="shared" si="2"/>
        <v>61.416666666666664</v>
      </c>
      <c r="R18" s="34">
        <v>23.7</v>
      </c>
      <c r="S18" s="275">
        <v>47.4</v>
      </c>
      <c r="T18" s="272">
        <v>39.6</v>
      </c>
      <c r="U18" s="35">
        <v>61.5</v>
      </c>
      <c r="V18" s="61">
        <f t="shared" si="5"/>
        <v>36.9</v>
      </c>
      <c r="W18" s="97">
        <v>89.2</v>
      </c>
      <c r="X18" s="95">
        <v>84.4</v>
      </c>
      <c r="Y18" s="99">
        <f t="shared" ref="Y18" si="13">AVERAGE(W18,X18)</f>
        <v>86.800000000000011</v>
      </c>
      <c r="Z18" s="308">
        <f t="shared" si="3"/>
        <v>61.705555555555556</v>
      </c>
      <c r="AA18" s="309">
        <f t="shared" si="4"/>
        <v>60.42</v>
      </c>
    </row>
    <row r="19" spans="1:27" ht="14" x14ac:dyDescent="0.2">
      <c r="A19" s="47" t="s">
        <v>457</v>
      </c>
      <c r="B19" s="66" t="s">
        <v>21</v>
      </c>
      <c r="C19" s="127">
        <v>69.099999999999994</v>
      </c>
      <c r="D19" s="127">
        <v>60.8</v>
      </c>
      <c r="E19" s="127">
        <v>68.2</v>
      </c>
      <c r="F19" s="37">
        <v>59.2</v>
      </c>
      <c r="G19" s="38">
        <v>62.5</v>
      </c>
      <c r="H19" s="61">
        <v>61.1</v>
      </c>
      <c r="I19" s="167">
        <v>82.5</v>
      </c>
      <c r="J19" s="37">
        <v>13</v>
      </c>
      <c r="K19" s="38">
        <v>69</v>
      </c>
      <c r="L19" s="117">
        <v>41</v>
      </c>
      <c r="M19" s="61">
        <v>5.3</v>
      </c>
      <c r="N19" s="35">
        <v>27.1</v>
      </c>
      <c r="O19" s="61">
        <v>16.2</v>
      </c>
      <c r="P19" s="120">
        <f t="shared" ref="P19" si="14">AVERAGE(C19,D19,E19,F19,I19,J19)</f>
        <v>58.79999999999999</v>
      </c>
      <c r="Q19" s="122">
        <f t="shared" ref="Q19" si="15">AVERAGE(L19,I19,H19,E19,D19,C19)</f>
        <v>63.783333333333339</v>
      </c>
      <c r="R19" s="34">
        <v>9.6</v>
      </c>
      <c r="S19" s="275">
        <v>44.7</v>
      </c>
      <c r="T19" s="272">
        <v>35.9</v>
      </c>
      <c r="U19" s="35">
        <v>60.7</v>
      </c>
      <c r="V19" s="61">
        <f>AVERAGE(R19:T19)</f>
        <v>30.066666666666666</v>
      </c>
      <c r="W19" s="97">
        <v>90.9</v>
      </c>
      <c r="X19" s="95">
        <v>86.2</v>
      </c>
      <c r="Y19" s="99">
        <f>AVERAGE(W19,X19)</f>
        <v>88.550000000000011</v>
      </c>
      <c r="Z19" s="308">
        <f t="shared" ref="Z19" si="16">AVERAGE(V19,Q19,Y19)</f>
        <v>60.800000000000011</v>
      </c>
      <c r="AA19" s="309">
        <f t="shared" ref="AA19" si="17">AVERAGE(C19,D19,E19,F19,I19,L19,R19,T19,W19,X19)</f>
        <v>60.339999999999996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38">
        <v>63.7</v>
      </c>
      <c r="H20" s="61">
        <v>62.7</v>
      </c>
      <c r="I20" s="167">
        <v>83</v>
      </c>
      <c r="J20" s="37">
        <v>9</v>
      </c>
      <c r="K20" s="38">
        <v>84</v>
      </c>
      <c r="L20" s="117">
        <v>46.5</v>
      </c>
      <c r="M20" s="60">
        <v>17.3</v>
      </c>
      <c r="N20" s="36">
        <v>77.400000000000006</v>
      </c>
      <c r="O20" s="60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34">
        <v>6.2</v>
      </c>
      <c r="S20" s="275">
        <v>43.4</v>
      </c>
      <c r="T20" s="272">
        <v>33.200000000000003</v>
      </c>
      <c r="U20" s="35">
        <v>58.2</v>
      </c>
      <c r="V20" s="61">
        <f t="shared" si="5"/>
        <v>27.600000000000005</v>
      </c>
      <c r="W20" s="97">
        <v>89.8</v>
      </c>
      <c r="X20" s="95">
        <v>85.4</v>
      </c>
      <c r="Y20" s="99">
        <f>AVERAGE(W20,X20)</f>
        <v>87.6</v>
      </c>
      <c r="Z20" s="308">
        <f t="shared" si="3"/>
        <v>59.977777777777781</v>
      </c>
      <c r="AA20" s="309">
        <f t="shared" si="4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38">
        <v>56.5</v>
      </c>
      <c r="H21" s="6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35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34">
        <v>23.2</v>
      </c>
      <c r="S21" s="275">
        <v>41.9</v>
      </c>
      <c r="T21" s="272">
        <v>30.4</v>
      </c>
      <c r="U21" s="35">
        <v>54.6</v>
      </c>
      <c r="V21" s="61">
        <f t="shared" si="5"/>
        <v>31.833333333333332</v>
      </c>
      <c r="W21" s="97">
        <v>87.4</v>
      </c>
      <c r="X21" s="95">
        <v>83.1</v>
      </c>
      <c r="Y21" s="99">
        <f t="shared" ref="Y21:Y38" si="18">AVERAGE(W21,X21)</f>
        <v>85.25</v>
      </c>
      <c r="Z21" s="308">
        <f t="shared" si="3"/>
        <v>60.022222222222219</v>
      </c>
      <c r="AA21" s="309">
        <f t="shared" si="4"/>
        <v>60.08</v>
      </c>
    </row>
    <row r="22" spans="1:27" ht="14" x14ac:dyDescent="0.2">
      <c r="A22" s="47" t="s">
        <v>459</v>
      </c>
      <c r="B22" s="66" t="s">
        <v>21</v>
      </c>
      <c r="C22" s="162">
        <v>70.599999999999994</v>
      </c>
      <c r="D22" s="127">
        <v>58.2</v>
      </c>
      <c r="E22" s="162">
        <v>67.3</v>
      </c>
      <c r="F22" s="124">
        <v>58.8</v>
      </c>
      <c r="G22" s="40">
        <v>60.8</v>
      </c>
      <c r="H22" s="61">
        <v>60</v>
      </c>
      <c r="I22" s="168">
        <v>72.900000000000006</v>
      </c>
      <c r="J22" s="37">
        <v>16</v>
      </c>
      <c r="K22" s="38">
        <v>81</v>
      </c>
      <c r="L22" s="117">
        <v>48.5</v>
      </c>
      <c r="M22" s="61">
        <v>15</v>
      </c>
      <c r="N22" s="35">
        <v>78.2</v>
      </c>
      <c r="O22" s="61">
        <v>46.6</v>
      </c>
      <c r="P22" s="120">
        <f t="shared" ref="P22" si="19">AVERAGE(C22,D22,E22,F22,I22,J22)</f>
        <v>57.300000000000011</v>
      </c>
      <c r="Q22" s="122">
        <f t="shared" ref="Q22" si="20">AVERAGE(L22,I22,H22,E22,D22,C22)</f>
        <v>62.916666666666664</v>
      </c>
      <c r="R22" s="34">
        <v>20.9</v>
      </c>
      <c r="S22" s="61">
        <v>44.1</v>
      </c>
      <c r="T22" s="34">
        <v>31.4</v>
      </c>
      <c r="U22" s="36">
        <v>55.9</v>
      </c>
      <c r="V22" s="61">
        <f t="shared" si="5"/>
        <v>32.133333333333333</v>
      </c>
      <c r="W22" s="97">
        <v>87.5</v>
      </c>
      <c r="X22" s="95">
        <v>82.2</v>
      </c>
      <c r="Y22" s="99">
        <f>AVERAGE(W22,X22)</f>
        <v>84.85</v>
      </c>
      <c r="Z22" s="308">
        <f>AVERAGE(V22,Q22,Y22)</f>
        <v>59.966666666666661</v>
      </c>
      <c r="AA22" s="309">
        <f>AVERAGE(C22,D22,E22,F22,I22,L22,R22,T22,W22,X22)</f>
        <v>59.830000000000005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4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35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34">
        <v>20.5</v>
      </c>
      <c r="S23" s="61">
        <v>39</v>
      </c>
      <c r="T23" s="34">
        <v>29.3</v>
      </c>
      <c r="U23" s="35">
        <v>53.9</v>
      </c>
      <c r="V23" s="61">
        <f t="shared" si="5"/>
        <v>29.599999999999998</v>
      </c>
      <c r="W23" s="97">
        <v>86.6</v>
      </c>
      <c r="X23" s="95">
        <v>82.2</v>
      </c>
      <c r="Y23" s="99">
        <f t="shared" si="18"/>
        <v>84.4</v>
      </c>
      <c r="Z23" s="308">
        <f t="shared" si="3"/>
        <v>58.916666666666664</v>
      </c>
      <c r="AA23" s="309">
        <f t="shared" si="4"/>
        <v>59.38000000000001</v>
      </c>
    </row>
    <row r="24" spans="1:27" ht="14" x14ac:dyDescent="0.2">
      <c r="A24" s="47" t="s">
        <v>443</v>
      </c>
      <c r="B24" s="128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38">
        <v>47.1</v>
      </c>
      <c r="H24" s="6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35">
        <v>14.3</v>
      </c>
      <c r="O24" s="61">
        <v>10.9</v>
      </c>
      <c r="P24" s="120">
        <f t="shared" ref="P24:P32" si="21">AVERAGE(C24,D24,E24,F24,I24,J24)</f>
        <v>55.300000000000004</v>
      </c>
      <c r="Q24" s="122">
        <f t="shared" ref="Q24:Q27" si="22">AVERAGE(L24,I24,H24,E24,D24,C24)</f>
        <v>60.966666666666669</v>
      </c>
      <c r="R24" s="34">
        <v>22.4</v>
      </c>
      <c r="S24" s="275">
        <v>45.4</v>
      </c>
      <c r="T24" s="272">
        <v>36.1</v>
      </c>
      <c r="U24" s="35">
        <v>58.7</v>
      </c>
      <c r="V24" s="61">
        <f t="shared" si="5"/>
        <v>34.633333333333333</v>
      </c>
      <c r="W24" s="97">
        <v>87.7</v>
      </c>
      <c r="X24" s="95">
        <v>83.4</v>
      </c>
      <c r="Y24" s="99">
        <f t="shared" si="18"/>
        <v>85.550000000000011</v>
      </c>
      <c r="Z24" s="308">
        <f t="shared" si="3"/>
        <v>60.383333333333333</v>
      </c>
      <c r="AA24" s="309">
        <f t="shared" si="4"/>
        <v>59.44</v>
      </c>
    </row>
    <row r="25" spans="1:27" ht="14" x14ac:dyDescent="0.2">
      <c r="A25" s="47" t="s">
        <v>439</v>
      </c>
      <c r="B25" s="128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38">
        <v>61.8</v>
      </c>
      <c r="H25" s="61">
        <v>60.8</v>
      </c>
      <c r="I25" s="167">
        <v>84.4</v>
      </c>
      <c r="J25" s="145">
        <v>10</v>
      </c>
      <c r="K25" s="38">
        <v>86</v>
      </c>
      <c r="L25" s="146">
        <v>48</v>
      </c>
      <c r="M25" s="61">
        <v>6</v>
      </c>
      <c r="N25" s="35">
        <v>27.8</v>
      </c>
      <c r="O25" s="61">
        <v>16.899999999999999</v>
      </c>
      <c r="P25" s="120">
        <f t="shared" si="21"/>
        <v>58.166666666666664</v>
      </c>
      <c r="Q25" s="122">
        <f t="shared" si="22"/>
        <v>64.733333333333334</v>
      </c>
      <c r="R25" s="34">
        <v>6.6</v>
      </c>
      <c r="S25" s="38">
        <v>42.7</v>
      </c>
      <c r="T25" s="38">
        <v>22.3</v>
      </c>
      <c r="U25" s="34">
        <v>54.5</v>
      </c>
      <c r="V25" s="61">
        <f t="shared" si="5"/>
        <v>23.866666666666671</v>
      </c>
      <c r="W25" s="97">
        <v>90</v>
      </c>
      <c r="X25" s="95">
        <v>84.9</v>
      </c>
      <c r="Y25" s="99">
        <f t="shared" si="18"/>
        <v>87.45</v>
      </c>
      <c r="Z25" s="308">
        <f t="shared" si="3"/>
        <v>58.683333333333337</v>
      </c>
      <c r="AA25" s="309">
        <f t="shared" si="4"/>
        <v>59.080000000000005</v>
      </c>
    </row>
    <row r="26" spans="1:27" ht="14" x14ac:dyDescent="0.2">
      <c r="A26" s="47" t="s">
        <v>441</v>
      </c>
      <c r="B26" s="128" t="s">
        <v>21</v>
      </c>
      <c r="C26" s="127">
        <v>67.400000000000006</v>
      </c>
      <c r="D26" s="127">
        <v>65.599999999999994</v>
      </c>
      <c r="E26" s="127">
        <v>71.3</v>
      </c>
      <c r="F26" s="37">
        <v>56.3</v>
      </c>
      <c r="G26" s="38">
        <v>58.7</v>
      </c>
      <c r="H26" s="61">
        <v>57.7</v>
      </c>
      <c r="I26" s="167">
        <v>84.3</v>
      </c>
      <c r="J26" s="145">
        <v>6</v>
      </c>
      <c r="K26" s="38">
        <v>69</v>
      </c>
      <c r="L26" s="146">
        <v>37.5</v>
      </c>
      <c r="M26" s="61">
        <v>2.2999999999999998</v>
      </c>
      <c r="N26" s="272">
        <v>16.5</v>
      </c>
      <c r="O26" s="61">
        <v>9.4</v>
      </c>
      <c r="P26" s="120">
        <f t="shared" si="21"/>
        <v>58.483333333333341</v>
      </c>
      <c r="Q26" s="122">
        <f t="shared" si="22"/>
        <v>63.966666666666661</v>
      </c>
      <c r="R26" s="34">
        <v>5.9</v>
      </c>
      <c r="S26" s="38">
        <v>42.7</v>
      </c>
      <c r="T26" s="38">
        <v>24.7</v>
      </c>
      <c r="U26" s="34">
        <v>53.5</v>
      </c>
      <c r="V26" s="61">
        <f t="shared" si="5"/>
        <v>24.433333333333334</v>
      </c>
      <c r="W26" s="97">
        <v>90.5</v>
      </c>
      <c r="X26" s="95">
        <v>86</v>
      </c>
      <c r="Y26" s="99">
        <f t="shared" si="18"/>
        <v>88.25</v>
      </c>
      <c r="Z26" s="308">
        <f t="shared" si="3"/>
        <v>58.883333333333326</v>
      </c>
      <c r="AA26" s="309">
        <f t="shared" si="4"/>
        <v>58.95</v>
      </c>
    </row>
    <row r="27" spans="1:27" ht="14" x14ac:dyDescent="0.2">
      <c r="A27" s="47" t="s">
        <v>442</v>
      </c>
      <c r="B27" s="128" t="s">
        <v>21</v>
      </c>
      <c r="C27" s="127">
        <v>69</v>
      </c>
      <c r="D27" s="127">
        <v>63.2</v>
      </c>
      <c r="E27" s="127">
        <v>61.1</v>
      </c>
      <c r="F27" s="37">
        <v>56.6</v>
      </c>
      <c r="G27" s="38">
        <v>58.9</v>
      </c>
      <c r="H27" s="92">
        <v>57.9</v>
      </c>
      <c r="I27" s="167">
        <v>83.2</v>
      </c>
      <c r="J27" s="111">
        <v>9</v>
      </c>
      <c r="K27" s="38">
        <v>90</v>
      </c>
      <c r="L27" s="289">
        <v>49.5</v>
      </c>
      <c r="M27" s="61">
        <v>4.5</v>
      </c>
      <c r="N27" s="272">
        <v>17.3</v>
      </c>
      <c r="O27" s="61">
        <v>10.9</v>
      </c>
      <c r="P27" s="120">
        <f t="shared" si="21"/>
        <v>57.016666666666659</v>
      </c>
      <c r="Q27" s="122">
        <f t="shared" si="22"/>
        <v>63.983333333333327</v>
      </c>
      <c r="R27" s="34">
        <v>6.6</v>
      </c>
      <c r="S27" s="38">
        <v>43.2</v>
      </c>
      <c r="T27" s="38">
        <v>19.899999999999999</v>
      </c>
      <c r="U27" s="34">
        <v>52.1</v>
      </c>
      <c r="V27" s="61">
        <f t="shared" si="5"/>
        <v>23.233333333333334</v>
      </c>
      <c r="W27" s="97">
        <v>89.6</v>
      </c>
      <c r="X27" s="95">
        <v>85.1</v>
      </c>
      <c r="Y27" s="99">
        <f t="shared" si="18"/>
        <v>87.35</v>
      </c>
      <c r="Z27" s="308">
        <f t="shared" si="3"/>
        <v>58.18888888888889</v>
      </c>
      <c r="AA27" s="309">
        <f t="shared" si="4"/>
        <v>58.379999999999995</v>
      </c>
    </row>
    <row r="28" spans="1:27" ht="14" x14ac:dyDescent="0.2">
      <c r="A28" s="47" t="s">
        <v>448</v>
      </c>
      <c r="B28" s="128" t="s">
        <v>21</v>
      </c>
      <c r="C28" s="246">
        <v>73.8</v>
      </c>
      <c r="D28" s="130">
        <v>55.8</v>
      </c>
      <c r="E28" s="246">
        <v>62.6</v>
      </c>
      <c r="F28" s="247">
        <v>59.8</v>
      </c>
      <c r="G28" s="248">
        <v>61.9</v>
      </c>
      <c r="H28" s="99">
        <v>61</v>
      </c>
      <c r="I28" s="325">
        <v>83.3</v>
      </c>
      <c r="J28" s="148">
        <v>7</v>
      </c>
      <c r="K28" s="38">
        <v>70</v>
      </c>
      <c r="L28" s="290">
        <v>38.5</v>
      </c>
      <c r="M28" s="92">
        <v>1.5</v>
      </c>
      <c r="N28" s="273">
        <v>20.3</v>
      </c>
      <c r="O28" s="92">
        <v>10.9</v>
      </c>
      <c r="P28" s="120">
        <f t="shared" si="21"/>
        <v>57.050000000000004</v>
      </c>
      <c r="Q28" s="122">
        <f t="shared" ref="Q28:Q33" si="23">AVERAGE(L28,I28,H28,E28,D28,C28)</f>
        <v>62.5</v>
      </c>
      <c r="R28" s="278">
        <v>4.8</v>
      </c>
      <c r="S28" s="38">
        <v>43.1</v>
      </c>
      <c r="T28" s="38">
        <v>28.1</v>
      </c>
      <c r="U28" s="278">
        <v>55.6</v>
      </c>
      <c r="V28" s="61">
        <f t="shared" si="5"/>
        <v>25.333333333333332</v>
      </c>
      <c r="W28" s="97">
        <v>90.1</v>
      </c>
      <c r="X28" s="95">
        <v>85.4</v>
      </c>
      <c r="Y28" s="99">
        <f t="shared" si="18"/>
        <v>87.75</v>
      </c>
      <c r="Z28" s="308">
        <f t="shared" si="3"/>
        <v>58.527777777777771</v>
      </c>
      <c r="AA28" s="309">
        <f t="shared" si="4"/>
        <v>58.220000000000006</v>
      </c>
    </row>
    <row r="29" spans="1:27" ht="14" x14ac:dyDescent="0.2">
      <c r="A29" s="47" t="s">
        <v>456</v>
      </c>
      <c r="B29" s="128" t="s">
        <v>21</v>
      </c>
      <c r="C29" s="246">
        <v>63.4</v>
      </c>
      <c r="D29" s="245">
        <v>53.2</v>
      </c>
      <c r="E29" s="226">
        <v>72.2</v>
      </c>
      <c r="F29" s="227">
        <v>38.700000000000003</v>
      </c>
      <c r="G29" s="228">
        <v>40.700000000000003</v>
      </c>
      <c r="H29" s="229">
        <v>39.799999999999997</v>
      </c>
      <c r="I29" s="230">
        <v>78.599999999999994</v>
      </c>
      <c r="J29" s="323">
        <v>17</v>
      </c>
      <c r="K29" s="232">
        <v>83</v>
      </c>
      <c r="L29" s="324">
        <v>50</v>
      </c>
      <c r="M29" s="234">
        <v>9.8000000000000007</v>
      </c>
      <c r="N29" s="321">
        <v>39.1</v>
      </c>
      <c r="O29" s="234">
        <v>24.4</v>
      </c>
      <c r="P29" s="225">
        <f t="shared" si="21"/>
        <v>53.85</v>
      </c>
      <c r="Q29" s="122">
        <f t="shared" si="23"/>
        <v>59.533333333333324</v>
      </c>
      <c r="R29" s="320">
        <v>21</v>
      </c>
      <c r="S29" s="38">
        <v>40.4</v>
      </c>
      <c r="T29" s="38">
        <v>29.3</v>
      </c>
      <c r="U29" s="320">
        <v>54.3</v>
      </c>
      <c r="V29" s="234">
        <f t="shared" si="5"/>
        <v>30.233333333333334</v>
      </c>
      <c r="W29" s="97">
        <v>82.7</v>
      </c>
      <c r="X29" s="95">
        <v>88</v>
      </c>
      <c r="Y29" s="99">
        <f t="shared" si="18"/>
        <v>85.35</v>
      </c>
      <c r="Z29" s="308">
        <f t="shared" si="3"/>
        <v>58.372222222222213</v>
      </c>
      <c r="AA29" s="309">
        <f t="shared" si="4"/>
        <v>57.71</v>
      </c>
    </row>
    <row r="30" spans="1:27" ht="14" x14ac:dyDescent="0.2">
      <c r="A30" s="47" t="s">
        <v>455</v>
      </c>
      <c r="B30" s="128" t="s">
        <v>21</v>
      </c>
      <c r="C30" s="130">
        <v>63.7</v>
      </c>
      <c r="D30" s="134">
        <v>58.8</v>
      </c>
      <c r="E30" s="134">
        <v>70.8</v>
      </c>
      <c r="F30" s="278">
        <v>44.6</v>
      </c>
      <c r="G30" s="171">
        <v>46.4</v>
      </c>
      <c r="H30" s="249">
        <v>45.6</v>
      </c>
      <c r="I30" s="281">
        <v>71</v>
      </c>
      <c r="J30" s="92">
        <v>14</v>
      </c>
      <c r="K30" s="35">
        <v>85</v>
      </c>
      <c r="L30" s="92">
        <v>49.5</v>
      </c>
      <c r="M30" s="322">
        <v>7.5</v>
      </c>
      <c r="N30" s="35">
        <v>21.8</v>
      </c>
      <c r="O30" s="92">
        <v>14.7</v>
      </c>
      <c r="P30" s="120">
        <f>AVERAGE(C30,D30,E30,F30,I30,J30)</f>
        <v>53.816666666666663</v>
      </c>
      <c r="Q30" s="139">
        <f t="shared" si="23"/>
        <v>59.9</v>
      </c>
      <c r="R30" s="278">
        <v>20.5</v>
      </c>
      <c r="S30" s="38">
        <v>40.700000000000003</v>
      </c>
      <c r="T30" s="38">
        <v>29.7</v>
      </c>
      <c r="U30" s="278">
        <v>54.6</v>
      </c>
      <c r="V30" s="61">
        <f t="shared" si="5"/>
        <v>30.3</v>
      </c>
      <c r="W30" s="140">
        <v>86.3</v>
      </c>
      <c r="X30" s="141">
        <v>81.7</v>
      </c>
      <c r="Y30" s="142">
        <f>AVERAGE(W30,X30)</f>
        <v>84</v>
      </c>
      <c r="Z30" s="308">
        <f>AVERAGE(V30,Q30,Y30)</f>
        <v>58.066666666666663</v>
      </c>
      <c r="AA30" s="309">
        <f>AVERAGE(C30,D30,E30,F30,I30,L30,R30,T30,W30,X30)</f>
        <v>57.660000000000004</v>
      </c>
    </row>
    <row r="31" spans="1:27" ht="14" x14ac:dyDescent="0.2">
      <c r="A31" s="47" t="s">
        <v>454</v>
      </c>
      <c r="B31" s="128" t="s">
        <v>21</v>
      </c>
      <c r="C31" s="130">
        <v>62</v>
      </c>
      <c r="D31" s="130">
        <v>60.2</v>
      </c>
      <c r="E31" s="130">
        <v>71.400000000000006</v>
      </c>
      <c r="F31" s="90">
        <v>48.6</v>
      </c>
      <c r="G31" s="163">
        <v>52.8</v>
      </c>
      <c r="H31" s="243">
        <v>51</v>
      </c>
      <c r="I31" s="169">
        <v>77.599999999999994</v>
      </c>
      <c r="J31" s="111">
        <v>12</v>
      </c>
      <c r="K31" s="38">
        <v>89</v>
      </c>
      <c r="L31" s="289">
        <v>50.5</v>
      </c>
      <c r="M31" s="266">
        <v>17.3</v>
      </c>
      <c r="N31" s="38">
        <v>55.6</v>
      </c>
      <c r="O31" s="92">
        <v>36.5</v>
      </c>
      <c r="P31" s="120">
        <f t="shared" si="21"/>
        <v>55.300000000000004</v>
      </c>
      <c r="Q31" s="122">
        <f t="shared" si="23"/>
        <v>62.116666666666667</v>
      </c>
      <c r="R31" s="267">
        <v>6.1</v>
      </c>
      <c r="S31" s="38">
        <v>43</v>
      </c>
      <c r="T31" s="38">
        <v>24.8</v>
      </c>
      <c r="U31" s="278">
        <v>53.9</v>
      </c>
      <c r="V31" s="61">
        <f t="shared" si="5"/>
        <v>24.633333333333336</v>
      </c>
      <c r="W31" s="97">
        <v>89.6</v>
      </c>
      <c r="X31" s="95">
        <v>84.5</v>
      </c>
      <c r="Y31" s="99">
        <f>AVERAGE(W31,X31)</f>
        <v>87.05</v>
      </c>
      <c r="Z31" s="308">
        <f>AVERAGE(V31,Q31,Y31)</f>
        <v>57.933333333333337</v>
      </c>
      <c r="AA31" s="309">
        <f>AVERAGE(C31,D31,E31,F31,I31,L31,R31,T31,W31,X31)</f>
        <v>57.530000000000008</v>
      </c>
    </row>
    <row r="32" spans="1:27" ht="14" x14ac:dyDescent="0.2">
      <c r="A32" s="47" t="s">
        <v>438</v>
      </c>
      <c r="B32" s="128" t="s">
        <v>21</v>
      </c>
      <c r="C32" s="127">
        <v>62.6</v>
      </c>
      <c r="D32" s="127">
        <v>61.8</v>
      </c>
      <c r="E32" s="127">
        <v>66.400000000000006</v>
      </c>
      <c r="F32" s="37">
        <v>59.3</v>
      </c>
      <c r="G32" s="44">
        <v>62.2</v>
      </c>
      <c r="H32" s="211">
        <v>61</v>
      </c>
      <c r="I32" s="167">
        <v>83</v>
      </c>
      <c r="J32" s="145">
        <v>11</v>
      </c>
      <c r="K32" s="38">
        <v>67</v>
      </c>
      <c r="L32" s="146">
        <v>39</v>
      </c>
      <c r="M32" s="61">
        <v>7.5</v>
      </c>
      <c r="N32" s="38">
        <v>56.4</v>
      </c>
      <c r="O32" s="61">
        <v>32</v>
      </c>
      <c r="P32" s="120">
        <f t="shared" si="21"/>
        <v>57.35</v>
      </c>
      <c r="Q32" s="122">
        <f t="shared" si="23"/>
        <v>62.300000000000004</v>
      </c>
      <c r="R32" s="34">
        <v>5.3</v>
      </c>
      <c r="S32" s="38">
        <v>42.2</v>
      </c>
      <c r="T32" s="38">
        <v>21.9</v>
      </c>
      <c r="U32" s="275">
        <v>52.9</v>
      </c>
      <c r="V32" s="61">
        <f t="shared" si="5"/>
        <v>23.133333333333336</v>
      </c>
      <c r="W32" s="97">
        <v>90.2</v>
      </c>
      <c r="X32" s="95">
        <v>85.4</v>
      </c>
      <c r="Y32" s="99">
        <f t="shared" si="18"/>
        <v>87.800000000000011</v>
      </c>
      <c r="Z32" s="308">
        <f t="shared" si="3"/>
        <v>57.744444444444447</v>
      </c>
      <c r="AA32" s="309">
        <f t="shared" si="4"/>
        <v>57.489999999999995</v>
      </c>
    </row>
    <row r="33" spans="1:27" ht="14" x14ac:dyDescent="0.2">
      <c r="A33" s="47" t="s">
        <v>453</v>
      </c>
      <c r="B33" s="128" t="s">
        <v>21</v>
      </c>
      <c r="C33" s="127">
        <v>60.5</v>
      </c>
      <c r="D33" s="127">
        <v>57.6</v>
      </c>
      <c r="E33" s="127">
        <v>71.5</v>
      </c>
      <c r="F33" s="37">
        <v>50.2</v>
      </c>
      <c r="G33" s="44">
        <v>53.5</v>
      </c>
      <c r="H33" s="211">
        <v>52.1</v>
      </c>
      <c r="I33" s="167">
        <v>78.8</v>
      </c>
      <c r="J33" s="145">
        <v>14</v>
      </c>
      <c r="K33" s="38">
        <v>81</v>
      </c>
      <c r="L33" s="146">
        <v>47.5</v>
      </c>
      <c r="M33" s="61">
        <v>4.5</v>
      </c>
      <c r="N33" s="38">
        <v>30.8</v>
      </c>
      <c r="O33" s="61">
        <v>17.7</v>
      </c>
      <c r="P33" s="120">
        <f>AVERAGE(C33,D33,E33,F33,I33,J33)</f>
        <v>55.433333333333337</v>
      </c>
      <c r="Q33" s="122">
        <f t="shared" si="23"/>
        <v>61.333333333333336</v>
      </c>
      <c r="R33" s="34">
        <v>6.6</v>
      </c>
      <c r="S33" s="38">
        <v>42.8</v>
      </c>
      <c r="T33" s="38">
        <v>24.9</v>
      </c>
      <c r="U33" s="275">
        <v>54.2</v>
      </c>
      <c r="V33" s="61">
        <f t="shared" si="5"/>
        <v>24.766666666666666</v>
      </c>
      <c r="W33" s="97">
        <v>90.1</v>
      </c>
      <c r="X33" s="95">
        <v>84.9</v>
      </c>
      <c r="Y33" s="99">
        <f t="shared" si="18"/>
        <v>87.5</v>
      </c>
      <c r="Z33" s="308">
        <f t="shared" ref="Z33" si="24">AVERAGE(V33,Q33,Y33)</f>
        <v>57.866666666666667</v>
      </c>
      <c r="AA33" s="309">
        <f t="shared" ref="AA33" si="25">AVERAGE(C33,D33,E33,F33,I33,L33,R33,T33,W33,X33)</f>
        <v>57.260000000000005</v>
      </c>
    </row>
    <row r="34" spans="1:27" ht="14" x14ac:dyDescent="0.2">
      <c r="A34" s="280" t="s">
        <v>465</v>
      </c>
      <c r="B34" s="167"/>
      <c r="C34" s="133"/>
      <c r="D34" s="134"/>
      <c r="E34" s="134"/>
      <c r="F34" s="278"/>
      <c r="G34" s="171"/>
      <c r="H34" s="92"/>
      <c r="I34" s="281"/>
      <c r="J34" s="92"/>
      <c r="K34" s="35"/>
      <c r="L34" s="291"/>
      <c r="M34" s="92"/>
      <c r="N34" s="35"/>
      <c r="O34" s="92"/>
      <c r="P34" s="120"/>
      <c r="Q34" s="139"/>
      <c r="R34" s="92"/>
      <c r="S34" s="38"/>
      <c r="T34" s="38"/>
      <c r="U34" s="61"/>
      <c r="V34" s="92"/>
      <c r="W34" s="112"/>
      <c r="X34" s="113"/>
      <c r="Y34" s="114"/>
      <c r="Z34" s="308"/>
      <c r="AA34" s="309"/>
    </row>
    <row r="35" spans="1:27" ht="14" x14ac:dyDescent="0.2">
      <c r="A35" s="280" t="s">
        <v>406</v>
      </c>
      <c r="B35" s="167" t="s">
        <v>358</v>
      </c>
      <c r="C35" s="133">
        <v>77.8</v>
      </c>
      <c r="D35" s="134">
        <v>36.4</v>
      </c>
      <c r="E35" s="134">
        <v>65.3</v>
      </c>
      <c r="F35" s="278">
        <v>27.5</v>
      </c>
      <c r="G35" s="276">
        <v>28.78</v>
      </c>
      <c r="H35" s="171">
        <v>28.3</v>
      </c>
      <c r="I35" s="281">
        <v>65.099999999999994</v>
      </c>
      <c r="J35" s="92">
        <v>26</v>
      </c>
      <c r="K35" s="35">
        <v>89</v>
      </c>
      <c r="L35" s="291">
        <v>57.5</v>
      </c>
      <c r="M35" s="92"/>
      <c r="N35" s="35"/>
      <c r="O35" s="92"/>
      <c r="P35" s="120">
        <f t="shared" ref="P35" si="26">AVERAGE(C35,D35,E35,F35,I35,J35)</f>
        <v>49.683333333333337</v>
      </c>
      <c r="Q35" s="139">
        <f t="shared" ref="Q35" si="27">AVERAGE(L35,I35,H35,E35,D35,C35)</f>
        <v>55.066666666666663</v>
      </c>
      <c r="R35" s="92">
        <v>16.899999999999999</v>
      </c>
      <c r="S35" s="38">
        <v>48.3</v>
      </c>
      <c r="T35" s="38">
        <v>38.299999999999997</v>
      </c>
      <c r="U35" s="34">
        <v>61.6</v>
      </c>
      <c r="V35" s="92">
        <f>AVERAGE(R35:T35)</f>
        <v>34.499999999999993</v>
      </c>
      <c r="W35" s="112">
        <v>85.6</v>
      </c>
      <c r="X35" s="113">
        <v>81.7</v>
      </c>
      <c r="Y35" s="114">
        <f>AVERAGE(W35,X35)</f>
        <v>83.65</v>
      </c>
      <c r="Z35" s="308">
        <f>AVERAGE(V35,Q35,Y35)</f>
        <v>57.738888888888887</v>
      </c>
      <c r="AA35" s="309">
        <f>AVERAGE(C35,D35,E35,F35,I35,L35,R35,T35,W35,X35)</f>
        <v>55.21</v>
      </c>
    </row>
    <row r="36" spans="1:27" ht="14" x14ac:dyDescent="0.2">
      <c r="A36" s="280" t="s">
        <v>411</v>
      </c>
      <c r="B36" s="165" t="s">
        <v>21</v>
      </c>
      <c r="C36" s="284">
        <v>63.2</v>
      </c>
      <c r="D36" s="162">
        <v>30.2</v>
      </c>
      <c r="E36" s="162">
        <v>54</v>
      </c>
      <c r="F36" s="124">
        <v>44.9</v>
      </c>
      <c r="G36" s="210">
        <v>48.7</v>
      </c>
      <c r="H36" s="211">
        <v>47.1</v>
      </c>
      <c r="I36" s="168">
        <v>81</v>
      </c>
      <c r="J36" s="145">
        <v>15</v>
      </c>
      <c r="K36" s="38">
        <v>87</v>
      </c>
      <c r="L36" s="146">
        <v>51</v>
      </c>
      <c r="M36" s="148"/>
      <c r="N36" s="38"/>
      <c r="O36" s="128"/>
      <c r="P36" s="134">
        <f>AVERAGE(C36,D36,E36,F36,I36,J36)</f>
        <v>48.050000000000004</v>
      </c>
      <c r="Q36" s="135">
        <f>AVERAGE(L36,I36,H36,E36,D36,C36)</f>
        <v>54.416666666666664</v>
      </c>
      <c r="R36" s="92">
        <v>12.3</v>
      </c>
      <c r="S36" s="38">
        <v>46</v>
      </c>
      <c r="T36" s="38">
        <v>38.299999999999997</v>
      </c>
      <c r="U36" s="37">
        <v>63.4</v>
      </c>
      <c r="V36" s="61">
        <f t="shared" si="5"/>
        <v>32.199999999999996</v>
      </c>
      <c r="W36" s="136">
        <v>84.8</v>
      </c>
      <c r="X36" s="137">
        <v>81.3</v>
      </c>
      <c r="Y36" s="99">
        <f t="shared" si="18"/>
        <v>83.05</v>
      </c>
      <c r="Z36" s="308">
        <f t="shared" si="3"/>
        <v>56.55555555555555</v>
      </c>
      <c r="AA36" s="309">
        <f>AVERAGE(C36,D36,E36,F36,I36,L36,R36,T36,W36,X36)</f>
        <v>54.1</v>
      </c>
    </row>
    <row r="37" spans="1:27" ht="14" x14ac:dyDescent="0.2">
      <c r="A37" s="280" t="s">
        <v>464</v>
      </c>
      <c r="B37" s="167" t="s">
        <v>21</v>
      </c>
      <c r="C37" s="128">
        <v>59.3</v>
      </c>
      <c r="D37" s="127">
        <v>60.4</v>
      </c>
      <c r="E37" s="127">
        <v>67.7</v>
      </c>
      <c r="F37" s="145">
        <v>57.9</v>
      </c>
      <c r="G37" s="38">
        <v>60</v>
      </c>
      <c r="H37" s="145">
        <v>59.1</v>
      </c>
      <c r="I37" s="167">
        <v>75.3</v>
      </c>
      <c r="J37" s="145">
        <v>7</v>
      </c>
      <c r="K37" s="38">
        <v>69</v>
      </c>
      <c r="L37" s="145">
        <v>38</v>
      </c>
      <c r="M37" s="285">
        <v>8.3000000000000007</v>
      </c>
      <c r="N37" s="38">
        <v>21.1</v>
      </c>
      <c r="O37" s="145">
        <v>14.7</v>
      </c>
      <c r="P37" s="127">
        <f>AVERAGE(C37,D37,E37,F37,I37,J37)</f>
        <v>54.599999999999994</v>
      </c>
      <c r="Q37" s="202">
        <f>AVERAGE(L37,I37,H37,E37,D37,C37)</f>
        <v>59.966666666666669</v>
      </c>
      <c r="R37" s="145">
        <v>11</v>
      </c>
      <c r="S37" s="38">
        <v>41.9</v>
      </c>
      <c r="T37" s="38">
        <v>6.3</v>
      </c>
      <c r="U37" s="37">
        <v>40.200000000000003</v>
      </c>
      <c r="V37" s="326">
        <f>AVERAGE(R37:T37)</f>
        <v>19.733333333333331</v>
      </c>
      <c r="W37" s="285">
        <v>72.5</v>
      </c>
      <c r="X37" s="268">
        <v>70.8</v>
      </c>
      <c r="Y37" s="145">
        <f>AVERAGE(W37,X37)</f>
        <v>71.650000000000006</v>
      </c>
      <c r="Z37" s="308">
        <f>AVERAGE(V37,Q37,Y37)</f>
        <v>50.45000000000001</v>
      </c>
      <c r="AA37" s="309">
        <f>AVERAGE(C37,D37,E37,F37,I37,L37,R37,T37,W37,X37)</f>
        <v>51.919999999999995</v>
      </c>
    </row>
    <row r="38" spans="1:27" ht="14" x14ac:dyDescent="0.2">
      <c r="A38" s="283" t="s">
        <v>413</v>
      </c>
      <c r="B38" s="165" t="s">
        <v>358</v>
      </c>
      <c r="C38" s="128">
        <v>52.9</v>
      </c>
      <c r="D38" s="127">
        <v>18.2</v>
      </c>
      <c r="E38" s="127">
        <v>59.5</v>
      </c>
      <c r="F38" s="37">
        <v>7.4</v>
      </c>
      <c r="G38" s="38">
        <v>7.7</v>
      </c>
      <c r="H38" s="43">
        <v>7.6</v>
      </c>
      <c r="I38" s="167">
        <v>78.8</v>
      </c>
      <c r="J38" s="37">
        <v>16</v>
      </c>
      <c r="K38" s="38">
        <v>80</v>
      </c>
      <c r="L38" s="117">
        <v>48</v>
      </c>
      <c r="M38" s="61">
        <v>1</v>
      </c>
      <c r="N38" s="38">
        <v>3</v>
      </c>
      <c r="O38" s="61">
        <v>2</v>
      </c>
      <c r="P38" s="312">
        <f>AVERAGE(C38,D38,E38,F38,I38,J38)</f>
        <v>38.800000000000004</v>
      </c>
      <c r="Q38" s="312">
        <f>AVERAGE(L38,I38,H38,E38,D38,C38)</f>
        <v>44.166666666666664</v>
      </c>
      <c r="R38" s="61">
        <v>24.1</v>
      </c>
      <c r="S38" s="38">
        <v>53.8</v>
      </c>
      <c r="T38" s="38">
        <v>49.9</v>
      </c>
      <c r="U38" s="37">
        <v>69.099999999999994</v>
      </c>
      <c r="V38" s="61">
        <f t="shared" si="5"/>
        <v>42.6</v>
      </c>
      <c r="W38" s="97">
        <v>92.6</v>
      </c>
      <c r="X38" s="95">
        <v>87.7</v>
      </c>
      <c r="Y38" s="99">
        <f t="shared" si="18"/>
        <v>90.15</v>
      </c>
      <c r="Z38" s="308">
        <f t="shared" si="3"/>
        <v>58.972222222222229</v>
      </c>
      <c r="AA38" s="309">
        <f t="shared" si="4"/>
        <v>51.910000000000004</v>
      </c>
    </row>
    <row r="39" spans="1:27" ht="14" x14ac:dyDescent="0.2">
      <c r="A39" s="280" t="s">
        <v>461</v>
      </c>
      <c r="B39" s="270" t="s">
        <v>21</v>
      </c>
      <c r="C39" s="133">
        <v>64.900000000000006</v>
      </c>
      <c r="D39" s="134">
        <v>62.2</v>
      </c>
      <c r="E39" s="134">
        <v>65.599999999999994</v>
      </c>
      <c r="F39" s="278">
        <v>60</v>
      </c>
      <c r="G39" s="35">
        <v>62.2</v>
      </c>
      <c r="H39" s="92">
        <v>61.3</v>
      </c>
      <c r="I39" s="281">
        <v>82.1</v>
      </c>
      <c r="J39" s="278">
        <v>4</v>
      </c>
      <c r="K39" s="276">
        <v>21</v>
      </c>
      <c r="L39" s="282">
        <v>12.5</v>
      </c>
      <c r="M39" s="92">
        <v>6.8</v>
      </c>
      <c r="N39" s="35">
        <v>29.3</v>
      </c>
      <c r="O39" s="92">
        <v>18.100000000000001</v>
      </c>
      <c r="P39" s="120">
        <f>AVERAGE(C39,D39,E39,F39,I39,J39)</f>
        <v>56.466666666666661</v>
      </c>
      <c r="Q39" s="139">
        <f>AVERAGE(L39,I39,H39,E39,D39,C39)</f>
        <v>58.1</v>
      </c>
      <c r="R39" s="92">
        <v>4.5999999999999996</v>
      </c>
      <c r="S39" s="38">
        <v>39.700000000000003</v>
      </c>
      <c r="T39" s="38">
        <v>4.5999999999999996</v>
      </c>
      <c r="U39" s="34">
        <v>38.6</v>
      </c>
      <c r="V39" s="61">
        <f>AVERAGE(R39:T39)</f>
        <v>16.3</v>
      </c>
      <c r="W39" s="97">
        <v>78.3</v>
      </c>
      <c r="X39" s="95">
        <v>75.3</v>
      </c>
      <c r="Y39" s="99">
        <f>AVERAGE(W39,X39)</f>
        <v>76.8</v>
      </c>
      <c r="Z39" s="308">
        <f>AVERAGE(V39,Q39,Y39)</f>
        <v>50.4</v>
      </c>
      <c r="AA39" s="309">
        <f>AVERAGE(C39,D39,E39,F39,I39,L39,R39,T39,W39,X39)</f>
        <v>51.010000000000005</v>
      </c>
    </row>
    <row r="40" spans="1:27" ht="14" x14ac:dyDescent="0.2">
      <c r="A40" s="280" t="s">
        <v>462</v>
      </c>
      <c r="B40" s="281" t="s">
        <v>21</v>
      </c>
      <c r="C40" s="313">
        <v>62.8</v>
      </c>
      <c r="D40" s="120">
        <v>55.6</v>
      </c>
      <c r="E40" s="120">
        <v>63.1</v>
      </c>
      <c r="F40" s="34">
        <v>56.2</v>
      </c>
      <c r="G40" s="38">
        <v>58.1</v>
      </c>
      <c r="H40" s="61">
        <v>57.3</v>
      </c>
      <c r="I40" s="165">
        <v>67.7</v>
      </c>
      <c r="J40" s="34">
        <v>6</v>
      </c>
      <c r="K40" s="35">
        <v>75</v>
      </c>
      <c r="L40" s="64">
        <v>45.5</v>
      </c>
      <c r="M40" s="61">
        <v>15.8</v>
      </c>
      <c r="N40" s="38">
        <v>70.7</v>
      </c>
      <c r="O40" s="61">
        <v>43.2</v>
      </c>
      <c r="P40" s="120">
        <f>AVERAGE(C40,D40,E40,F40,I40,J40)</f>
        <v>51.9</v>
      </c>
      <c r="Q40" s="314">
        <f>AVERAGE(L40,I40,H40,E40,D40,C40)</f>
        <v>58.666666666666664</v>
      </c>
      <c r="R40" s="61">
        <v>4.0999999999999996</v>
      </c>
      <c r="S40" s="38">
        <v>40.1</v>
      </c>
      <c r="T40" s="38">
        <v>2.6</v>
      </c>
      <c r="U40" s="37">
        <v>37.799999999999997</v>
      </c>
      <c r="V40" s="61">
        <f>AVERAGE(R40:T40)</f>
        <v>15.600000000000001</v>
      </c>
      <c r="W40" s="315">
        <v>75.5</v>
      </c>
      <c r="X40" s="206">
        <v>73.5</v>
      </c>
      <c r="Y40" s="316">
        <f>AVERAGE(W40,X40)</f>
        <v>74.5</v>
      </c>
      <c r="Z40" s="317">
        <f>AVERAGE(V40,Q40,Y40)</f>
        <v>49.588888888888881</v>
      </c>
      <c r="AA40" s="318">
        <f>AVERAGE(C40,D40,E40,F40,I40,L40,R40,T40,W40,X40)</f>
        <v>50.660000000000004</v>
      </c>
    </row>
    <row r="41" spans="1:27" ht="14" x14ac:dyDescent="0.2">
      <c r="A41" s="89" t="s">
        <v>361</v>
      </c>
      <c r="B41" s="193" t="s">
        <v>358</v>
      </c>
      <c r="C41" s="245">
        <v>36.799999999999997</v>
      </c>
      <c r="D41" s="245">
        <v>16</v>
      </c>
      <c r="E41" s="245">
        <v>57.1</v>
      </c>
      <c r="F41" s="231">
        <v>6.2</v>
      </c>
      <c r="G41" s="268">
        <v>6.2</v>
      </c>
      <c r="H41" s="269">
        <v>6.2</v>
      </c>
      <c r="I41" s="270">
        <v>71.8</v>
      </c>
      <c r="J41" s="231">
        <v>16</v>
      </c>
      <c r="K41" s="232">
        <v>88</v>
      </c>
      <c r="L41" s="233">
        <v>52</v>
      </c>
      <c r="M41" s="148"/>
      <c r="N41" s="274"/>
      <c r="O41" s="145"/>
      <c r="P41" s="127">
        <f t="shared" ref="P41" si="28">AVERAGE(C41,D41,E41,F41,I41,J41)</f>
        <v>33.983333333333334</v>
      </c>
      <c r="Q41" s="202">
        <f t="shared" ref="Q41" si="29">AVERAGE(L41,I41,H41,E41,D41,C41)</f>
        <v>39.983333333333327</v>
      </c>
      <c r="R41" s="37">
        <v>23.3</v>
      </c>
      <c r="S41" s="38">
        <v>53</v>
      </c>
      <c r="T41" s="38">
        <v>47.2</v>
      </c>
      <c r="U41" s="277">
        <v>68.5</v>
      </c>
      <c r="V41" s="61">
        <f t="shared" si="5"/>
        <v>41.166666666666664</v>
      </c>
      <c r="W41" s="203">
        <v>91</v>
      </c>
      <c r="X41" s="204">
        <v>85.9</v>
      </c>
      <c r="Y41" s="205">
        <f t="shared" si="7"/>
        <v>88.45</v>
      </c>
      <c r="Z41" s="308">
        <f t="shared" si="3"/>
        <v>56.533333333333331</v>
      </c>
      <c r="AA41" s="309">
        <f t="shared" si="4"/>
        <v>48.73</v>
      </c>
    </row>
    <row r="42" spans="1:27" ht="15.75" customHeight="1" x14ac:dyDescent="0.2">
      <c r="A42" s="280" t="s">
        <v>463</v>
      </c>
      <c r="B42" s="288" t="s">
        <v>21</v>
      </c>
      <c r="C42" s="297">
        <v>64.400000000000006</v>
      </c>
      <c r="D42" s="298">
        <v>49.8</v>
      </c>
      <c r="E42" s="298">
        <v>65.099999999999994</v>
      </c>
      <c r="F42" s="299">
        <v>34.4</v>
      </c>
      <c r="G42" s="300">
        <v>35.799999999999997</v>
      </c>
      <c r="H42" s="301">
        <v>35.200000000000003</v>
      </c>
      <c r="I42" s="296">
        <v>71</v>
      </c>
      <c r="J42" s="302">
        <v>2</v>
      </c>
      <c r="K42" s="303">
        <v>26</v>
      </c>
      <c r="L42" s="302">
        <v>14</v>
      </c>
      <c r="M42" s="286">
        <v>5.3</v>
      </c>
      <c r="N42" s="303">
        <v>54.1</v>
      </c>
      <c r="O42" s="302">
        <v>29.7</v>
      </c>
      <c r="P42" s="298">
        <f>AVERAGE(C42,D42,E42,F42,I42,J42)</f>
        <v>47.783333333333339</v>
      </c>
      <c r="Q42" s="304">
        <f>AVERAGE(L42,I42,H42,E42,D42,C42)</f>
        <v>49.916666666666664</v>
      </c>
      <c r="R42" s="305">
        <v>14.6</v>
      </c>
      <c r="S42" s="327">
        <v>40.700000000000003</v>
      </c>
      <c r="T42" s="327">
        <v>13.8</v>
      </c>
      <c r="U42" s="306">
        <v>45.3</v>
      </c>
      <c r="V42" s="307">
        <f>AVERAGE(R42:T42)</f>
        <v>23.033333333333335</v>
      </c>
      <c r="W42" s="286">
        <v>68.900000000000006</v>
      </c>
      <c r="X42" s="328">
        <v>66</v>
      </c>
      <c r="Y42" s="302">
        <f>AVERAGE(W42,X42)</f>
        <v>67.45</v>
      </c>
      <c r="Z42" s="287">
        <f>AVERAGE(V42,Q42,Y42)</f>
        <v>46.800000000000004</v>
      </c>
      <c r="AA42" s="287">
        <f>AVERAGE(C42,D42,E42,F42,I42,L42,R42,T42,W42,X42)</f>
        <v>46.20000000000001</v>
      </c>
    </row>
    <row r="43" spans="1:27" ht="15.75" customHeight="1" x14ac:dyDescent="0.2">
      <c r="A43" s="280" t="s">
        <v>466</v>
      </c>
      <c r="B43" s="288" t="s">
        <v>358</v>
      </c>
      <c r="C43" s="297"/>
      <c r="D43" s="298"/>
      <c r="E43" s="298"/>
      <c r="F43" s="299"/>
      <c r="G43" s="300"/>
      <c r="H43" s="330"/>
      <c r="I43" s="296"/>
      <c r="J43" s="302"/>
      <c r="K43" s="303"/>
      <c r="L43" s="302"/>
      <c r="M43" s="302"/>
      <c r="N43" s="302"/>
      <c r="O43" s="302"/>
      <c r="P43" s="298"/>
      <c r="Q43" s="304"/>
      <c r="R43" s="305"/>
      <c r="S43" s="305"/>
      <c r="T43" s="305"/>
      <c r="U43" s="305"/>
      <c r="V43" s="294"/>
      <c r="W43" s="286"/>
      <c r="X43" s="302"/>
      <c r="Y43" s="302"/>
      <c r="Z43" s="287"/>
      <c r="AA43" s="331"/>
    </row>
    <row r="44" spans="1:27" ht="15" thickBot="1" x14ac:dyDescent="0.25">
      <c r="A44" s="244" t="s">
        <v>362</v>
      </c>
      <c r="B44" s="190" t="s">
        <v>358</v>
      </c>
      <c r="C44" s="132">
        <v>59.7</v>
      </c>
      <c r="D44" s="132">
        <v>12</v>
      </c>
      <c r="E44" s="132">
        <v>42.1</v>
      </c>
      <c r="F44" s="236">
        <v>7.8</v>
      </c>
      <c r="G44" s="237">
        <v>8</v>
      </c>
      <c r="H44" s="238">
        <v>7.9</v>
      </c>
      <c r="I44" s="239">
        <v>73.599999999999994</v>
      </c>
      <c r="J44" s="236">
        <v>18</v>
      </c>
      <c r="K44" s="237">
        <v>64</v>
      </c>
      <c r="L44" s="240">
        <v>41</v>
      </c>
      <c r="M44" s="191">
        <v>3.8</v>
      </c>
      <c r="N44" s="237">
        <v>14.3</v>
      </c>
      <c r="O44" s="191">
        <v>9</v>
      </c>
      <c r="P44" s="132">
        <f t="shared" ref="P44" si="30">AVERAGE(C44,D44,E44,F44,I44,J44)</f>
        <v>35.533333333333331</v>
      </c>
      <c r="Q44" s="198">
        <f t="shared" ref="Q44" si="31">AVERAGE(L44,I44,H44,E44,D44,C44)</f>
        <v>39.383333333333333</v>
      </c>
      <c r="R44" s="279">
        <v>16.100000000000001</v>
      </c>
      <c r="S44" s="191">
        <v>47.9</v>
      </c>
      <c r="T44" s="238">
        <v>29.1</v>
      </c>
      <c r="U44" s="191">
        <v>58.3</v>
      </c>
      <c r="V44" s="191">
        <f t="shared" si="5"/>
        <v>31.033333333333331</v>
      </c>
      <c r="W44" s="199">
        <v>86.2</v>
      </c>
      <c r="X44" s="200">
        <v>82.7</v>
      </c>
      <c r="Y44" s="201">
        <f t="shared" ref="Y44" si="32">AVERAGE(W44,X44)</f>
        <v>84.45</v>
      </c>
      <c r="Z44" s="329">
        <f t="shared" si="3"/>
        <v>51.622222222222227</v>
      </c>
      <c r="AA44" s="329">
        <f t="shared" si="4"/>
        <v>45.029999999999994</v>
      </c>
    </row>
  </sheetData>
  <mergeCells count="25">
    <mergeCell ref="A2:A4"/>
    <mergeCell ref="B2:B4"/>
    <mergeCell ref="F2:H2"/>
    <mergeCell ref="J2:O2"/>
    <mergeCell ref="P2:P4"/>
    <mergeCell ref="W1:Y1"/>
    <mergeCell ref="Z1:Z4"/>
    <mergeCell ref="AA1:AA4"/>
    <mergeCell ref="W2:W4"/>
    <mergeCell ref="X2:X4"/>
    <mergeCell ref="Y2:Y4"/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5565-5A4D-1748-ADDA-B84DFBFA9574}">
  <sheetPr>
    <outlinePr summaryBelow="0" summaryRight="0"/>
  </sheetPr>
  <dimension ref="A1:AA46"/>
  <sheetViews>
    <sheetView zoomScale="130" zoomScaleNormal="130" workbookViewId="0">
      <selection activeCell="A37" sqref="A37"/>
    </sheetView>
  </sheetViews>
  <sheetFormatPr baseColWidth="10" defaultColWidth="12.6640625" defaultRowHeight="15.75" customHeight="1" x14ac:dyDescent="0.15"/>
  <cols>
    <col min="1" max="1" width="46.83203125" customWidth="1"/>
    <col min="2" max="2" width="12" customWidth="1"/>
    <col min="3" max="3" width="16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8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44" t="s">
        <v>384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6"/>
      <c r="R1" s="744" t="s">
        <v>378</v>
      </c>
      <c r="S1" s="745"/>
      <c r="T1" s="745"/>
      <c r="U1" s="745"/>
      <c r="V1" s="745"/>
      <c r="W1" s="744" t="s">
        <v>399</v>
      </c>
      <c r="X1" s="689"/>
      <c r="Y1" s="690"/>
      <c r="Z1" s="691" t="s">
        <v>385</v>
      </c>
      <c r="AA1" s="691" t="s">
        <v>393</v>
      </c>
    </row>
    <row r="2" spans="1:27" ht="15" thickBot="1" x14ac:dyDescent="0.25">
      <c r="A2" s="738" t="s">
        <v>0</v>
      </c>
      <c r="B2" s="741" t="s">
        <v>1</v>
      </c>
      <c r="C2" s="103" t="s">
        <v>2</v>
      </c>
      <c r="D2" s="103" t="s">
        <v>3</v>
      </c>
      <c r="E2" s="103" t="s">
        <v>4</v>
      </c>
      <c r="F2" s="731" t="s">
        <v>5</v>
      </c>
      <c r="G2" s="732"/>
      <c r="H2" s="733"/>
      <c r="I2" s="104" t="s">
        <v>367</v>
      </c>
      <c r="J2" s="734" t="s">
        <v>420</v>
      </c>
      <c r="K2" s="735"/>
      <c r="L2" s="735"/>
      <c r="M2" s="736"/>
      <c r="N2" s="736"/>
      <c r="O2" s="737"/>
      <c r="P2" s="715" t="s">
        <v>409</v>
      </c>
      <c r="Q2" s="718" t="s">
        <v>408</v>
      </c>
      <c r="R2" s="721" t="s">
        <v>381</v>
      </c>
      <c r="S2" s="722"/>
      <c r="T2" s="722"/>
      <c r="U2" s="722"/>
      <c r="V2" s="723"/>
      <c r="W2" s="750" t="s">
        <v>400</v>
      </c>
      <c r="X2" s="750" t="s">
        <v>401</v>
      </c>
      <c r="Y2" s="750" t="s">
        <v>402</v>
      </c>
      <c r="Z2" s="729"/>
      <c r="AA2" s="729"/>
    </row>
    <row r="3" spans="1:27" ht="14" customHeight="1" thickBot="1" x14ac:dyDescent="0.2">
      <c r="A3" s="739"/>
      <c r="B3" s="742"/>
      <c r="C3" s="747" t="s">
        <v>9</v>
      </c>
      <c r="D3" s="708" t="s">
        <v>10</v>
      </c>
      <c r="E3" s="708" t="s">
        <v>11</v>
      </c>
      <c r="F3" s="710" t="s">
        <v>12</v>
      </c>
      <c r="G3" s="711"/>
      <c r="H3" s="712"/>
      <c r="I3" s="713" t="s">
        <v>13</v>
      </c>
      <c r="J3" s="698" t="s">
        <v>421</v>
      </c>
      <c r="K3" s="699"/>
      <c r="L3" s="699"/>
      <c r="M3" s="698" t="s">
        <v>422</v>
      </c>
      <c r="N3" s="699"/>
      <c r="O3" s="700"/>
      <c r="P3" s="716"/>
      <c r="Q3" s="719"/>
      <c r="R3" s="703" t="s">
        <v>380</v>
      </c>
      <c r="S3" s="700"/>
      <c r="T3" s="703" t="s">
        <v>379</v>
      </c>
      <c r="U3" s="700"/>
      <c r="V3" s="704" t="s">
        <v>382</v>
      </c>
      <c r="W3" s="751"/>
      <c r="X3" s="751"/>
      <c r="Y3" s="751"/>
      <c r="Z3" s="729"/>
      <c r="AA3" s="729"/>
    </row>
    <row r="4" spans="1:27" ht="14" thickBot="1" x14ac:dyDescent="0.2">
      <c r="A4" s="740"/>
      <c r="B4" s="743"/>
      <c r="C4" s="709"/>
      <c r="D4" s="709"/>
      <c r="E4" s="709"/>
      <c r="F4" s="86" t="s">
        <v>368</v>
      </c>
      <c r="G4" s="88" t="s">
        <v>369</v>
      </c>
      <c r="H4" s="88" t="s">
        <v>370</v>
      </c>
      <c r="I4" s="71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17"/>
      <c r="Q4" s="720"/>
      <c r="R4" s="78" t="s">
        <v>387</v>
      </c>
      <c r="S4" s="79" t="s">
        <v>388</v>
      </c>
      <c r="T4" s="76" t="s">
        <v>387</v>
      </c>
      <c r="U4" s="77" t="s">
        <v>388</v>
      </c>
      <c r="V4" s="705"/>
      <c r="W4" s="752"/>
      <c r="X4" s="752"/>
      <c r="Y4" s="752"/>
      <c r="Z4" s="730"/>
      <c r="AA4" s="730"/>
    </row>
    <row r="5" spans="1:27" ht="14" x14ac:dyDescent="0.2">
      <c r="A5" s="49" t="s">
        <v>424</v>
      </c>
      <c r="B5" s="66" t="s">
        <v>360</v>
      </c>
      <c r="C5" s="120">
        <v>88.8</v>
      </c>
      <c r="D5" s="120">
        <v>74.8</v>
      </c>
      <c r="E5" s="120">
        <v>74.099999999999994</v>
      </c>
      <c r="F5" s="255">
        <v>33.799999999999997</v>
      </c>
      <c r="G5" s="256">
        <v>36.6</v>
      </c>
      <c r="H5" s="257">
        <v>35.4</v>
      </c>
      <c r="I5" s="258">
        <v>83.5</v>
      </c>
      <c r="J5" s="259">
        <v>36</v>
      </c>
      <c r="K5" s="256">
        <v>77</v>
      </c>
      <c r="L5" s="260">
        <v>74.8</v>
      </c>
      <c r="M5" s="261"/>
      <c r="N5" s="261"/>
      <c r="O5" s="261"/>
      <c r="P5" s="262">
        <f>AVERAGE(C5,D5,E5,F5,I5,J5)</f>
        <v>65.166666666666671</v>
      </c>
      <c r="Q5" s="263">
        <f>AVERAGE(L5,I5,H5,E5,D5,C5)</f>
        <v>71.900000000000006</v>
      </c>
      <c r="R5" s="264">
        <v>34.6</v>
      </c>
      <c r="S5" s="264">
        <v>63.2</v>
      </c>
      <c r="T5" s="264">
        <v>58.9</v>
      </c>
      <c r="U5" s="261">
        <v>73.8</v>
      </c>
      <c r="V5" s="265">
        <f>AVERAGE(R5:T5)</f>
        <v>52.233333333333341</v>
      </c>
      <c r="W5" s="97">
        <v>94.2</v>
      </c>
      <c r="X5" s="95">
        <v>89.4</v>
      </c>
      <c r="Y5" s="99">
        <f t="shared" ref="Y5" si="0">AVERAGE(W5,X5)</f>
        <v>91.800000000000011</v>
      </c>
      <c r="Z5" s="110">
        <f>AVERAGE(V5,Q5,Y5)</f>
        <v>71.977777777777789</v>
      </c>
      <c r="AA5" s="197">
        <f>AVERAGE(C5,D5,E5,F5,I5,L5,R5,T5,W5,X5)</f>
        <v>70.690000000000012</v>
      </c>
    </row>
    <row r="6" spans="1:27" ht="14" x14ac:dyDescent="0.2">
      <c r="A6" s="49" t="s">
        <v>374</v>
      </c>
      <c r="B6" s="66" t="s">
        <v>359</v>
      </c>
      <c r="C6" s="119">
        <v>91.5</v>
      </c>
      <c r="D6" s="119">
        <v>83.2</v>
      </c>
      <c r="E6" s="119">
        <v>74.5</v>
      </c>
      <c r="F6" s="34">
        <v>33.9</v>
      </c>
      <c r="G6" s="43">
        <v>35.700000000000003</v>
      </c>
      <c r="H6" s="211">
        <v>34.9</v>
      </c>
      <c r="I6" s="166">
        <v>89</v>
      </c>
      <c r="J6" s="34">
        <v>37</v>
      </c>
      <c r="K6" s="35">
        <v>86</v>
      </c>
      <c r="L6" s="64">
        <v>61.5</v>
      </c>
      <c r="M6" s="61"/>
      <c r="N6" s="206"/>
      <c r="O6" s="61"/>
      <c r="P6" s="119">
        <f t="shared" ref="P6" si="1">AVERAGE(C6,D6,E6,F6,I6,J6)</f>
        <v>68.183333333333323</v>
      </c>
      <c r="Q6" s="254">
        <f t="shared" ref="Q6" si="2">AVERAGE(L6,I6,H6,E6,D6,C6)</f>
        <v>72.433333333333323</v>
      </c>
      <c r="R6" s="61">
        <v>29</v>
      </c>
      <c r="S6" s="206">
        <v>58.9</v>
      </c>
      <c r="T6" s="206">
        <v>56.3</v>
      </c>
      <c r="U6" s="206">
        <v>71.8</v>
      </c>
      <c r="V6" s="61">
        <f>AVERAGE(R6:T6)</f>
        <v>48.066666666666663</v>
      </c>
      <c r="W6" s="140">
        <v>93.9</v>
      </c>
      <c r="X6" s="196">
        <v>90.3</v>
      </c>
      <c r="Y6" s="142">
        <f>AVERAGE(W6,X6)</f>
        <v>92.1</v>
      </c>
      <c r="Z6" s="143">
        <f>AVERAGE(V6,Q6,Y6)</f>
        <v>70.86666666666666</v>
      </c>
      <c r="AA6" s="144">
        <f>AVERAGE(C6,D6,E6,F6,I6,L6,R6,T6,W6,X6)</f>
        <v>70.309999999999988</v>
      </c>
    </row>
    <row r="7" spans="1:27" ht="14" x14ac:dyDescent="0.2">
      <c r="A7" s="47" t="s">
        <v>16</v>
      </c>
      <c r="B7" s="66" t="s">
        <v>359</v>
      </c>
      <c r="C7" s="192">
        <v>91.5</v>
      </c>
      <c r="D7" s="127">
        <v>74.400000000000006</v>
      </c>
      <c r="E7" s="127">
        <v>72.400000000000006</v>
      </c>
      <c r="F7" s="37">
        <v>35.700000000000003</v>
      </c>
      <c r="G7" s="44">
        <v>35.700000000000003</v>
      </c>
      <c r="H7" s="211">
        <v>35.700000000000003</v>
      </c>
      <c r="I7" s="167">
        <v>85.9</v>
      </c>
      <c r="J7" s="160">
        <v>49</v>
      </c>
      <c r="K7" s="38">
        <v>86</v>
      </c>
      <c r="L7" s="223">
        <v>67.5</v>
      </c>
      <c r="M7" s="61"/>
      <c r="N7" s="206"/>
      <c r="O7" s="61"/>
      <c r="P7" s="119">
        <f t="shared" ref="P7:P15" si="3">AVERAGE(C7,D7,E7,F7,I7,J7)</f>
        <v>68.149999999999991</v>
      </c>
      <c r="Q7" s="122">
        <f t="shared" ref="Q7:Q15" si="4">AVERAGE(L7,I7,H7,E7,D7,C7)</f>
        <v>71.233333333333334</v>
      </c>
      <c r="R7" s="61">
        <v>28.5</v>
      </c>
      <c r="S7" s="206">
        <v>56.7</v>
      </c>
      <c r="T7" s="206">
        <v>55.9</v>
      </c>
      <c r="U7" s="206">
        <v>71.8</v>
      </c>
      <c r="V7" s="61">
        <f>AVERAGE(R7:T7)</f>
        <v>47.033333333333331</v>
      </c>
      <c r="W7" s="96">
        <v>94.3</v>
      </c>
      <c r="X7" s="94">
        <v>90.3</v>
      </c>
      <c r="Y7" s="98">
        <f>AVERAGE(W7,X7)</f>
        <v>92.3</v>
      </c>
      <c r="Z7" s="143">
        <f t="shared" ref="Z7:Z46" si="5">AVERAGE(V7,Q7,Y7)</f>
        <v>70.188888888888883</v>
      </c>
      <c r="AA7" s="144">
        <f t="shared" ref="AA7:AA46" si="6">AVERAGE(C7,D7,E7,F7,I7,L7,R7,T7,W7,X7)</f>
        <v>69.639999999999986</v>
      </c>
    </row>
    <row r="8" spans="1:27" ht="14" x14ac:dyDescent="0.2">
      <c r="A8" s="47" t="s">
        <v>425</v>
      </c>
      <c r="B8" s="128" t="s">
        <v>360</v>
      </c>
      <c r="C8" s="162">
        <v>86.6</v>
      </c>
      <c r="D8" s="127">
        <v>56.4</v>
      </c>
      <c r="E8" s="162">
        <v>70.400000000000006</v>
      </c>
      <c r="F8" s="124">
        <v>22.7</v>
      </c>
      <c r="G8" s="40">
        <v>22.7</v>
      </c>
      <c r="H8" s="43">
        <v>22.7</v>
      </c>
      <c r="I8" s="168">
        <v>83.7</v>
      </c>
      <c r="J8" s="37">
        <v>31</v>
      </c>
      <c r="K8" s="38">
        <v>88</v>
      </c>
      <c r="L8" s="117">
        <v>59.5</v>
      </c>
      <c r="M8" s="61"/>
      <c r="N8" s="61"/>
      <c r="O8" s="61"/>
      <c r="P8" s="120">
        <f>AVERAGE(C8,D8,E8,F8,I8,J8)</f>
        <v>58.466666666666669</v>
      </c>
      <c r="Q8" s="122">
        <f>AVERAGE(L8,I8,H8,E8,D8,C8)</f>
        <v>63.216666666666661</v>
      </c>
      <c r="R8" s="61">
        <v>28.3</v>
      </c>
      <c r="S8" s="61">
        <v>57.2</v>
      </c>
      <c r="T8" s="61">
        <v>56.1</v>
      </c>
      <c r="U8" s="61">
        <v>73.2</v>
      </c>
      <c r="V8" s="61">
        <f>AVERAGE(R8:T8)</f>
        <v>47.199999999999996</v>
      </c>
      <c r="W8" s="97">
        <v>94.1</v>
      </c>
      <c r="X8" s="95">
        <v>89.3</v>
      </c>
      <c r="Y8" s="99">
        <f>AVERAGE(W8,X8)</f>
        <v>91.699999999999989</v>
      </c>
      <c r="Z8" s="143">
        <f t="shared" si="5"/>
        <v>67.37222222222222</v>
      </c>
      <c r="AA8" s="144">
        <f>AVERAGE(C8,D8,E8,F8,I8,L8,R8,T8,W8,X8)</f>
        <v>64.710000000000008</v>
      </c>
    </row>
    <row r="9" spans="1:27" ht="14" x14ac:dyDescent="0.2">
      <c r="A9" s="47" t="s">
        <v>423</v>
      </c>
      <c r="B9" s="128" t="s">
        <v>360</v>
      </c>
      <c r="C9" s="162">
        <v>85.7</v>
      </c>
      <c r="D9" s="127">
        <v>57.8</v>
      </c>
      <c r="E9" s="162">
        <v>69.3</v>
      </c>
      <c r="F9" s="124">
        <v>21.6</v>
      </c>
      <c r="G9" s="210">
        <v>22.8</v>
      </c>
      <c r="H9" s="61">
        <v>22.3</v>
      </c>
      <c r="I9" s="168">
        <v>82.7</v>
      </c>
      <c r="J9" s="37">
        <v>32</v>
      </c>
      <c r="K9" s="38">
        <v>88</v>
      </c>
      <c r="L9" s="117">
        <v>60</v>
      </c>
      <c r="M9" s="61">
        <v>7.5</v>
      </c>
      <c r="N9" s="61">
        <v>10.5</v>
      </c>
      <c r="O9" s="61">
        <v>9</v>
      </c>
      <c r="P9" s="120">
        <f>AVERAGE(C9,D9,E9,F9,I9,J9)</f>
        <v>58.183333333333337</v>
      </c>
      <c r="Q9" s="122">
        <f>AVERAGE(L9,I9,H9,E9,D9,C9)</f>
        <v>62.966666666666669</v>
      </c>
      <c r="R9" s="61">
        <v>27.7</v>
      </c>
      <c r="S9" s="61">
        <v>56.8</v>
      </c>
      <c r="T9" s="61">
        <v>56.6</v>
      </c>
      <c r="U9" s="60">
        <v>73.900000000000006</v>
      </c>
      <c r="V9" s="61">
        <f t="shared" ref="V9:V45" si="7">AVERAGE(R9:T9)</f>
        <v>47.033333333333331</v>
      </c>
      <c r="W9" s="97">
        <v>94</v>
      </c>
      <c r="X9" s="95">
        <v>89.3</v>
      </c>
      <c r="Y9" s="99">
        <f>AVERAGE(W9,X9)</f>
        <v>91.65</v>
      </c>
      <c r="Z9" s="143">
        <f t="shared" si="5"/>
        <v>67.216666666666669</v>
      </c>
      <c r="AA9" s="144">
        <f t="shared" si="6"/>
        <v>64.47</v>
      </c>
    </row>
    <row r="10" spans="1:27" ht="14" x14ac:dyDescent="0.2">
      <c r="A10" s="47" t="s">
        <v>445</v>
      </c>
      <c r="B10" s="66" t="s">
        <v>21</v>
      </c>
      <c r="C10" s="127">
        <v>62.3</v>
      </c>
      <c r="D10" s="127">
        <v>63.2</v>
      </c>
      <c r="E10" s="127">
        <v>72.599999999999994</v>
      </c>
      <c r="F10" s="37">
        <v>54.7</v>
      </c>
      <c r="G10" s="44">
        <v>56.8</v>
      </c>
      <c r="H10" s="211">
        <v>56</v>
      </c>
      <c r="I10" s="167">
        <v>83.9</v>
      </c>
      <c r="J10" s="37">
        <v>6</v>
      </c>
      <c r="K10" s="38">
        <v>89</v>
      </c>
      <c r="L10" s="117">
        <v>47.5</v>
      </c>
      <c r="M10" s="61">
        <v>3</v>
      </c>
      <c r="N10" s="206">
        <v>3.8</v>
      </c>
      <c r="O10" s="61">
        <v>3.4</v>
      </c>
      <c r="P10" s="120">
        <f t="shared" si="3"/>
        <v>57.116666666666674</v>
      </c>
      <c r="Q10" s="122">
        <f t="shared" si="4"/>
        <v>64.25</v>
      </c>
      <c r="R10" s="61">
        <v>24.1</v>
      </c>
      <c r="S10" s="206">
        <v>47.6</v>
      </c>
      <c r="T10" s="206">
        <v>41.3</v>
      </c>
      <c r="U10" s="206">
        <v>62.4</v>
      </c>
      <c r="V10" s="61">
        <f t="shared" si="7"/>
        <v>37.666666666666664</v>
      </c>
      <c r="W10" s="97">
        <v>89</v>
      </c>
      <c r="X10" s="95">
        <v>83.9</v>
      </c>
      <c r="Y10" s="99">
        <f t="shared" ref="Y10:Y43" si="8">AVERAGE(W10,X10)</f>
        <v>86.45</v>
      </c>
      <c r="Z10" s="143">
        <f t="shared" si="5"/>
        <v>62.788888888888891</v>
      </c>
      <c r="AA10" s="144">
        <f t="shared" si="6"/>
        <v>62.250000000000014</v>
      </c>
    </row>
    <row r="11" spans="1:27" ht="14" x14ac:dyDescent="0.2">
      <c r="A11" s="47" t="s">
        <v>437</v>
      </c>
      <c r="B11" s="66" t="s">
        <v>21</v>
      </c>
      <c r="C11" s="127">
        <v>66.400000000000006</v>
      </c>
      <c r="D11" s="127">
        <v>61.4</v>
      </c>
      <c r="E11" s="127">
        <v>67</v>
      </c>
      <c r="F11" s="37">
        <v>59.1</v>
      </c>
      <c r="G11" s="44">
        <v>61.3</v>
      </c>
      <c r="H11" s="211">
        <v>60.4</v>
      </c>
      <c r="I11" s="167">
        <v>85.8</v>
      </c>
      <c r="J11" s="37">
        <v>7</v>
      </c>
      <c r="K11" s="38">
        <v>80</v>
      </c>
      <c r="L11" s="117">
        <v>43.5</v>
      </c>
      <c r="M11" s="61">
        <v>3.8</v>
      </c>
      <c r="N11" s="206">
        <v>3.8</v>
      </c>
      <c r="O11" s="61">
        <v>3.8</v>
      </c>
      <c r="P11" s="120">
        <f t="shared" ref="P11" si="9">AVERAGE(C11,D11,E11,F11,I11,J11)</f>
        <v>57.783333333333331</v>
      </c>
      <c r="Q11" s="122">
        <f t="shared" ref="Q11" si="10">AVERAGE(L11,I11,H11,E11,D11,C11)</f>
        <v>64.083333333333329</v>
      </c>
      <c r="R11" s="61">
        <v>24.3</v>
      </c>
      <c r="S11" s="206">
        <v>48.1</v>
      </c>
      <c r="T11" s="206">
        <v>42.9</v>
      </c>
      <c r="U11" s="206">
        <v>63.1</v>
      </c>
      <c r="V11" s="61">
        <f t="shared" si="7"/>
        <v>38.433333333333337</v>
      </c>
      <c r="W11" s="97">
        <v>86.9</v>
      </c>
      <c r="X11" s="95">
        <v>82.9</v>
      </c>
      <c r="Y11" s="99">
        <f t="shared" si="8"/>
        <v>84.9</v>
      </c>
      <c r="Z11" s="143">
        <f t="shared" si="5"/>
        <v>62.472222222222229</v>
      </c>
      <c r="AA11" s="144">
        <f t="shared" si="6"/>
        <v>62.019999999999996</v>
      </c>
    </row>
    <row r="12" spans="1:27" ht="14" x14ac:dyDescent="0.2">
      <c r="A12" s="47" t="s">
        <v>451</v>
      </c>
      <c r="B12" s="66" t="s">
        <v>21</v>
      </c>
      <c r="C12" s="127">
        <v>68.3</v>
      </c>
      <c r="D12" s="127">
        <v>57</v>
      </c>
      <c r="E12" s="127">
        <v>70.099999999999994</v>
      </c>
      <c r="F12" s="37">
        <v>58.9</v>
      </c>
      <c r="G12" s="44">
        <v>61.1</v>
      </c>
      <c r="H12" s="61">
        <v>60.2</v>
      </c>
      <c r="I12" s="167">
        <v>82.6</v>
      </c>
      <c r="J12" s="37">
        <v>12</v>
      </c>
      <c r="K12" s="38">
        <v>84</v>
      </c>
      <c r="L12" s="117">
        <v>48</v>
      </c>
      <c r="M12" s="61">
        <v>8.3000000000000007</v>
      </c>
      <c r="N12" s="61">
        <v>27.8</v>
      </c>
      <c r="O12" s="61">
        <v>18.100000000000001</v>
      </c>
      <c r="P12" s="120">
        <f t="shared" ref="P12" si="11">AVERAGE(C12,D12,E12,F12,I12,J12)</f>
        <v>58.15</v>
      </c>
      <c r="Q12" s="122">
        <f t="shared" ref="Q12" si="12">AVERAGE(L12,I12,H12,E12,D12,C12)</f>
        <v>64.36666666666666</v>
      </c>
      <c r="R12" s="61">
        <v>22.2</v>
      </c>
      <c r="S12" s="61">
        <v>43</v>
      </c>
      <c r="T12" s="61">
        <v>32.1</v>
      </c>
      <c r="U12" s="61">
        <v>56</v>
      </c>
      <c r="V12" s="61">
        <f>AVERAGE(R12:U12)</f>
        <v>38.325000000000003</v>
      </c>
      <c r="W12" s="97">
        <v>87.6</v>
      </c>
      <c r="X12" s="95">
        <v>83</v>
      </c>
      <c r="Y12" s="99">
        <f t="shared" ref="Y12" si="13">AVERAGE(W12,X12)</f>
        <v>85.3</v>
      </c>
      <c r="Z12" s="143">
        <f t="shared" si="5"/>
        <v>62.663888888888891</v>
      </c>
      <c r="AA12" s="144">
        <f t="shared" si="6"/>
        <v>60.98</v>
      </c>
    </row>
    <row r="13" spans="1:27" ht="14" x14ac:dyDescent="0.2">
      <c r="A13" s="49" t="s">
        <v>446</v>
      </c>
      <c r="B13" s="66" t="s">
        <v>21</v>
      </c>
      <c r="C13" s="120">
        <v>63.2</v>
      </c>
      <c r="D13" s="120">
        <v>62.4</v>
      </c>
      <c r="E13" s="120">
        <v>66.8</v>
      </c>
      <c r="F13" s="34">
        <v>49.4</v>
      </c>
      <c r="G13" s="43">
        <v>51.1</v>
      </c>
      <c r="H13" s="61">
        <v>50.4</v>
      </c>
      <c r="I13" s="165">
        <v>82.7</v>
      </c>
      <c r="J13" s="34">
        <v>7</v>
      </c>
      <c r="K13" s="35">
        <v>87</v>
      </c>
      <c r="L13" s="64">
        <v>47</v>
      </c>
      <c r="M13" s="61">
        <v>2.2999999999999998</v>
      </c>
      <c r="N13" s="61">
        <v>3.8</v>
      </c>
      <c r="O13" s="61">
        <v>3</v>
      </c>
      <c r="P13" s="120">
        <f t="shared" ref="P13" si="14">AVERAGE(C13,D13,E13,F13,I13,J13)</f>
        <v>55.25</v>
      </c>
      <c r="Q13" s="122">
        <f t="shared" ref="Q13" si="15">AVERAGE(L13,I13,H13,E13,D13,C13)</f>
        <v>62.083333333333321</v>
      </c>
      <c r="R13" s="61">
        <v>23.5</v>
      </c>
      <c r="S13" s="61">
        <v>47.2</v>
      </c>
      <c r="T13" s="61">
        <v>41.8</v>
      </c>
      <c r="U13" s="61">
        <v>62.7</v>
      </c>
      <c r="V13" s="61">
        <f t="shared" si="7"/>
        <v>37.5</v>
      </c>
      <c r="W13" s="97">
        <v>89.4</v>
      </c>
      <c r="X13" s="95">
        <v>84.2</v>
      </c>
      <c r="Y13" s="99">
        <f>AVERAGE(W13,X13)</f>
        <v>86.800000000000011</v>
      </c>
      <c r="Z13" s="143">
        <f t="shared" si="5"/>
        <v>62.127777777777773</v>
      </c>
      <c r="AA13" s="144">
        <f t="shared" si="6"/>
        <v>61.040000000000006</v>
      </c>
    </row>
    <row r="14" spans="1:27" ht="14" x14ac:dyDescent="0.2">
      <c r="A14" s="47" t="s">
        <v>452</v>
      </c>
      <c r="B14" s="66" t="s">
        <v>21</v>
      </c>
      <c r="C14" s="162">
        <v>70.599999999999994</v>
      </c>
      <c r="D14" s="127">
        <v>55.2</v>
      </c>
      <c r="E14" s="162">
        <v>69.599999999999994</v>
      </c>
      <c r="F14" s="124">
        <v>57.6</v>
      </c>
      <c r="G14" s="210">
        <v>59.6</v>
      </c>
      <c r="H14" s="61">
        <v>58.7</v>
      </c>
      <c r="I14" s="168">
        <v>82.9</v>
      </c>
      <c r="J14" s="37">
        <v>11</v>
      </c>
      <c r="K14" s="38">
        <v>83</v>
      </c>
      <c r="L14" s="117">
        <v>47</v>
      </c>
      <c r="M14" s="61">
        <v>2.2999999999999998</v>
      </c>
      <c r="N14" s="61">
        <v>26.3</v>
      </c>
      <c r="O14" s="61">
        <v>14.3</v>
      </c>
      <c r="P14" s="120">
        <f>AVERAGE(C14,D14,E14,F14,I14,J14)</f>
        <v>57.816666666666663</v>
      </c>
      <c r="Q14" s="122">
        <f>AVERAGE(L14,I14,H14,E14,D14,C14)</f>
        <v>64</v>
      </c>
      <c r="R14" s="61">
        <v>22.3</v>
      </c>
      <c r="S14" s="61">
        <v>42.8</v>
      </c>
      <c r="T14" s="61">
        <v>33.799999999999997</v>
      </c>
      <c r="U14" s="61">
        <v>57</v>
      </c>
      <c r="V14" s="61">
        <f>AVERAGE(R14:U14)</f>
        <v>38.974999999999994</v>
      </c>
      <c r="W14" s="97">
        <v>87.3</v>
      </c>
      <c r="X14" s="95">
        <v>82.8</v>
      </c>
      <c r="Y14" s="99">
        <f>AVERAGE(W14,X14)</f>
        <v>85.05</v>
      </c>
      <c r="Z14" s="143">
        <f>AVERAGE(V14,Q14,Y14)</f>
        <v>62.67499999999999</v>
      </c>
      <c r="AA14" s="144">
        <f t="shared" si="6"/>
        <v>60.909999999999989</v>
      </c>
    </row>
    <row r="15" spans="1:27" ht="14" x14ac:dyDescent="0.2">
      <c r="A15" s="47" t="s">
        <v>435</v>
      </c>
      <c r="B15" s="66" t="s">
        <v>21</v>
      </c>
      <c r="C15" s="127">
        <v>70.900000000000006</v>
      </c>
      <c r="D15" s="127">
        <v>60</v>
      </c>
      <c r="E15" s="127">
        <v>68.599999999999994</v>
      </c>
      <c r="F15" s="37">
        <v>62</v>
      </c>
      <c r="G15" s="44">
        <v>64.400000000000006</v>
      </c>
      <c r="H15" s="211">
        <v>63.4</v>
      </c>
      <c r="I15" s="167">
        <v>84</v>
      </c>
      <c r="J15" s="37">
        <v>7</v>
      </c>
      <c r="K15" s="38">
        <v>88</v>
      </c>
      <c r="L15" s="117">
        <v>47.5</v>
      </c>
      <c r="M15" s="61">
        <v>15.8</v>
      </c>
      <c r="N15" s="206">
        <v>63.2</v>
      </c>
      <c r="O15" s="61">
        <v>39.5</v>
      </c>
      <c r="P15" s="120">
        <f t="shared" si="3"/>
        <v>58.75</v>
      </c>
      <c r="Q15" s="122">
        <f t="shared" si="4"/>
        <v>65.733333333333334</v>
      </c>
      <c r="R15" s="61">
        <v>10.7</v>
      </c>
      <c r="S15" s="206">
        <v>45.2</v>
      </c>
      <c r="T15" s="206">
        <v>30.6</v>
      </c>
      <c r="U15" s="206">
        <v>58.5</v>
      </c>
      <c r="V15" s="61">
        <f t="shared" si="7"/>
        <v>28.833333333333332</v>
      </c>
      <c r="W15" s="97">
        <v>89.6</v>
      </c>
      <c r="X15" s="95">
        <v>85.2</v>
      </c>
      <c r="Y15" s="99">
        <f t="shared" si="8"/>
        <v>87.4</v>
      </c>
      <c r="Z15" s="143">
        <f t="shared" si="5"/>
        <v>60.655555555555559</v>
      </c>
      <c r="AA15" s="144">
        <f t="shared" si="6"/>
        <v>60.910000000000004</v>
      </c>
    </row>
    <row r="16" spans="1:27" ht="14" x14ac:dyDescent="0.2">
      <c r="A16" s="47" t="s">
        <v>447</v>
      </c>
      <c r="B16" s="66" t="s">
        <v>21</v>
      </c>
      <c r="C16" s="162">
        <v>61.5</v>
      </c>
      <c r="D16" s="127">
        <v>63</v>
      </c>
      <c r="E16" s="162">
        <v>66.5</v>
      </c>
      <c r="F16" s="124">
        <v>51.8</v>
      </c>
      <c r="G16" s="210">
        <v>53.7</v>
      </c>
      <c r="H16" s="61">
        <v>52.9</v>
      </c>
      <c r="I16" s="168">
        <v>81.900000000000006</v>
      </c>
      <c r="J16" s="37">
        <v>7</v>
      </c>
      <c r="K16" s="38">
        <v>89</v>
      </c>
      <c r="L16" s="117">
        <v>48</v>
      </c>
      <c r="M16" s="61">
        <v>2.2999999999999998</v>
      </c>
      <c r="N16" s="61">
        <v>3</v>
      </c>
      <c r="O16" s="61">
        <v>2.6</v>
      </c>
      <c r="P16" s="120">
        <f t="shared" ref="P16" si="16">AVERAGE(C16,D16,E16,F16,I16,J16)</f>
        <v>55.283333333333339</v>
      </c>
      <c r="Q16" s="122">
        <f t="shared" ref="Q16" si="17">AVERAGE(L16,I16,H16,E16,D16,C16)</f>
        <v>62.300000000000004</v>
      </c>
      <c r="R16" s="61">
        <v>22.5</v>
      </c>
      <c r="S16" s="61">
        <v>46.3</v>
      </c>
      <c r="T16" s="61">
        <v>39.5</v>
      </c>
      <c r="U16" s="61">
        <v>61.1</v>
      </c>
      <c r="V16" s="61">
        <f t="shared" si="7"/>
        <v>36.1</v>
      </c>
      <c r="W16" s="97">
        <v>88.3</v>
      </c>
      <c r="X16" s="95">
        <v>83.6</v>
      </c>
      <c r="Y16" s="99">
        <f>AVERAGE(W16,X16)</f>
        <v>85.949999999999989</v>
      </c>
      <c r="Z16" s="143">
        <f t="shared" si="5"/>
        <v>61.449999999999996</v>
      </c>
      <c r="AA16" s="144">
        <f t="shared" si="6"/>
        <v>60.660000000000004</v>
      </c>
    </row>
    <row r="17" spans="1:27" ht="14" x14ac:dyDescent="0.2">
      <c r="A17" s="47" t="s">
        <v>19</v>
      </c>
      <c r="B17" s="128" t="s">
        <v>359</v>
      </c>
      <c r="C17" s="127">
        <v>79</v>
      </c>
      <c r="D17" s="127">
        <v>51.6</v>
      </c>
      <c r="E17" s="127">
        <v>65.05</v>
      </c>
      <c r="F17" s="37">
        <v>13.4445</v>
      </c>
      <c r="G17" s="38"/>
      <c r="H17" s="43">
        <f t="shared" ref="H17" si="18">F17</f>
        <v>13.4445</v>
      </c>
      <c r="I17" s="167">
        <v>78.498999999999995</v>
      </c>
      <c r="J17" s="37">
        <v>30</v>
      </c>
      <c r="K17" s="38">
        <v>87</v>
      </c>
      <c r="L17" s="117">
        <v>58.5</v>
      </c>
      <c r="M17" s="61"/>
      <c r="N17" s="61"/>
      <c r="O17" s="61"/>
      <c r="P17" s="120">
        <f t="shared" ref="P17" si="19">AVERAGE(C17,D17,E17,F17,I17,J17)</f>
        <v>52.932249999999989</v>
      </c>
      <c r="Q17" s="122">
        <f t="shared" ref="Q17" si="20">AVERAGE(L17,I17,H17,E17,D17,C17)</f>
        <v>57.682250000000003</v>
      </c>
      <c r="R17" s="61">
        <v>30.3</v>
      </c>
      <c r="S17" s="61">
        <v>60.2</v>
      </c>
      <c r="T17" s="61">
        <v>48</v>
      </c>
      <c r="U17" s="61">
        <v>67.099999999999994</v>
      </c>
      <c r="V17" s="61">
        <f>AVERAGE(R17:T17)</f>
        <v>46.166666666666664</v>
      </c>
      <c r="W17" s="97">
        <v>93.5</v>
      </c>
      <c r="X17" s="95">
        <v>88.6</v>
      </c>
      <c r="Y17" s="99">
        <f>AVERAGE(W17,X17)</f>
        <v>91.05</v>
      </c>
      <c r="Z17" s="143">
        <f t="shared" si="5"/>
        <v>64.96630555555555</v>
      </c>
      <c r="AA17" s="144">
        <f t="shared" si="6"/>
        <v>60.649349999999991</v>
      </c>
    </row>
    <row r="18" spans="1:27" ht="14" x14ac:dyDescent="0.2">
      <c r="A18" s="47" t="s">
        <v>444</v>
      </c>
      <c r="B18" s="66" t="s">
        <v>21</v>
      </c>
      <c r="C18" s="127">
        <v>68</v>
      </c>
      <c r="D18" s="127">
        <v>64.400000000000006</v>
      </c>
      <c r="E18" s="127">
        <v>67.5</v>
      </c>
      <c r="F18" s="37">
        <v>56.4</v>
      </c>
      <c r="G18" s="44">
        <v>58.5</v>
      </c>
      <c r="H18" s="211">
        <v>57.6</v>
      </c>
      <c r="I18" s="167">
        <v>80</v>
      </c>
      <c r="J18" s="37">
        <v>7</v>
      </c>
      <c r="K18" s="38">
        <v>55</v>
      </c>
      <c r="L18" s="117">
        <v>31</v>
      </c>
      <c r="M18" s="61">
        <v>2.2999999999999998</v>
      </c>
      <c r="N18" s="206">
        <v>6</v>
      </c>
      <c r="O18" s="61">
        <v>4.0999999999999996</v>
      </c>
      <c r="P18" s="120">
        <f t="shared" ref="P18" si="21">AVERAGE(C18,D18,E18,F18,I18,J18)</f>
        <v>57.216666666666669</v>
      </c>
      <c r="Q18" s="122">
        <f t="shared" ref="Q18" si="22">AVERAGE(L18,I18,H18,E18,D18,C18)</f>
        <v>61.416666666666664</v>
      </c>
      <c r="R18" s="61">
        <v>23.7</v>
      </c>
      <c r="S18" s="206">
        <v>47.4</v>
      </c>
      <c r="T18" s="206">
        <v>39.6</v>
      </c>
      <c r="U18" s="206">
        <v>61.5</v>
      </c>
      <c r="V18" s="61">
        <f t="shared" si="7"/>
        <v>36.9</v>
      </c>
      <c r="W18" s="97">
        <v>89.2</v>
      </c>
      <c r="X18" s="95">
        <v>84.4</v>
      </c>
      <c r="Y18" s="99">
        <f t="shared" ref="Y18" si="23">AVERAGE(W18,X18)</f>
        <v>86.800000000000011</v>
      </c>
      <c r="Z18" s="143">
        <f t="shared" si="5"/>
        <v>61.705555555555556</v>
      </c>
      <c r="AA18" s="144">
        <f t="shared" si="6"/>
        <v>60.42</v>
      </c>
    </row>
    <row r="19" spans="1:27" ht="14" x14ac:dyDescent="0.2">
      <c r="A19" s="47" t="s">
        <v>434</v>
      </c>
      <c r="B19" s="66" t="s">
        <v>21</v>
      </c>
      <c r="C19" s="127">
        <v>69.5</v>
      </c>
      <c r="D19" s="127">
        <v>58.2</v>
      </c>
      <c r="E19" s="127">
        <v>69.099999999999994</v>
      </c>
      <c r="F19" s="37">
        <v>59</v>
      </c>
      <c r="G19" s="44">
        <v>62.6</v>
      </c>
      <c r="H19" s="211">
        <v>61.1</v>
      </c>
      <c r="I19" s="167">
        <v>84.3</v>
      </c>
      <c r="J19" s="37">
        <v>10</v>
      </c>
      <c r="K19" s="38">
        <v>88</v>
      </c>
      <c r="L19" s="117">
        <v>49</v>
      </c>
      <c r="M19" s="60">
        <v>22.6</v>
      </c>
      <c r="N19" s="206">
        <v>79.7</v>
      </c>
      <c r="O19" s="60">
        <v>51.1</v>
      </c>
      <c r="P19" s="120">
        <f>AVERAGE(C19,D19,E19,F19,I19,J19)</f>
        <v>58.35</v>
      </c>
      <c r="Q19" s="122">
        <f>AVERAGE(L19,I19,H19,E19,D19,C19)</f>
        <v>65.2</v>
      </c>
      <c r="R19" s="61">
        <v>9.6</v>
      </c>
      <c r="S19" s="206">
        <v>43.8</v>
      </c>
      <c r="T19" s="206">
        <v>30.2</v>
      </c>
      <c r="U19" s="206">
        <v>57.7</v>
      </c>
      <c r="V19" s="61">
        <f t="shared" si="7"/>
        <v>27.866666666666664</v>
      </c>
      <c r="W19" s="97">
        <v>89.4</v>
      </c>
      <c r="X19" s="95">
        <v>84.8</v>
      </c>
      <c r="Y19" s="99">
        <f t="shared" si="8"/>
        <v>87.1</v>
      </c>
      <c r="Z19" s="143">
        <f t="shared" si="5"/>
        <v>60.05555555555555</v>
      </c>
      <c r="AA19" s="144">
        <f t="shared" si="6"/>
        <v>60.31</v>
      </c>
    </row>
    <row r="20" spans="1:27" ht="14" x14ac:dyDescent="0.2">
      <c r="A20" s="47" t="s">
        <v>449</v>
      </c>
      <c r="B20" s="66" t="s">
        <v>21</v>
      </c>
      <c r="C20" s="127">
        <v>73.2</v>
      </c>
      <c r="D20" s="127">
        <v>57.8</v>
      </c>
      <c r="E20" s="127">
        <v>65.2</v>
      </c>
      <c r="F20" s="37">
        <v>61.4</v>
      </c>
      <c r="G20" s="44">
        <v>63.7</v>
      </c>
      <c r="H20" s="211">
        <v>62.7</v>
      </c>
      <c r="I20" s="167">
        <v>83</v>
      </c>
      <c r="J20" s="37">
        <v>9</v>
      </c>
      <c r="K20" s="38">
        <v>84</v>
      </c>
      <c r="L20" s="117">
        <v>46.5</v>
      </c>
      <c r="M20" s="61">
        <v>17.3</v>
      </c>
      <c r="N20" s="206">
        <v>77.400000000000006</v>
      </c>
      <c r="O20" s="61">
        <v>47.4</v>
      </c>
      <c r="P20" s="120">
        <f>AVERAGE(C20,D20,E20,F20,I20,J20)</f>
        <v>58.266666666666659</v>
      </c>
      <c r="Q20" s="122">
        <f>AVERAGE(L20,I20,H20,E20,D20,C20)</f>
        <v>64.733333333333334</v>
      </c>
      <c r="R20" s="61">
        <v>6.2</v>
      </c>
      <c r="S20" s="206">
        <v>43.4</v>
      </c>
      <c r="T20" s="206">
        <v>33.200000000000003</v>
      </c>
      <c r="U20" s="206">
        <v>58.2</v>
      </c>
      <c r="V20" s="61">
        <f>AVERAGE(R20:U20)</f>
        <v>35.25</v>
      </c>
      <c r="W20" s="97">
        <v>89.8</v>
      </c>
      <c r="X20" s="95">
        <v>85.4</v>
      </c>
      <c r="Y20" s="99">
        <f>AVERAGE(W20,X20)</f>
        <v>87.6</v>
      </c>
      <c r="Z20" s="143">
        <f t="shared" si="5"/>
        <v>62.527777777777771</v>
      </c>
      <c r="AA20" s="144">
        <f t="shared" si="6"/>
        <v>60.169999999999995</v>
      </c>
    </row>
    <row r="21" spans="1:27" ht="14" x14ac:dyDescent="0.2">
      <c r="A21" s="47" t="s">
        <v>440</v>
      </c>
      <c r="B21" s="66" t="s">
        <v>21</v>
      </c>
      <c r="C21" s="127">
        <v>69.5</v>
      </c>
      <c r="D21" s="127">
        <v>59.6</v>
      </c>
      <c r="E21" s="127">
        <v>67.900000000000006</v>
      </c>
      <c r="F21" s="37">
        <v>54.4</v>
      </c>
      <c r="G21" s="44">
        <v>56.5</v>
      </c>
      <c r="H21" s="211">
        <v>55.6</v>
      </c>
      <c r="I21" s="167">
        <v>76.8</v>
      </c>
      <c r="J21" s="37">
        <v>14</v>
      </c>
      <c r="K21" s="38">
        <v>83</v>
      </c>
      <c r="L21" s="117">
        <v>48.5</v>
      </c>
      <c r="M21" s="61">
        <v>3.8</v>
      </c>
      <c r="N21" s="206">
        <v>4.5</v>
      </c>
      <c r="O21" s="61">
        <v>4.0999999999999996</v>
      </c>
      <c r="P21" s="120">
        <f>AVERAGE(C21,D21,E21,F21,I21,J21)</f>
        <v>57.033333333333331</v>
      </c>
      <c r="Q21" s="122">
        <f>AVERAGE(L21,I21,H21,E21,D21,C21)</f>
        <v>62.983333333333341</v>
      </c>
      <c r="R21" s="61">
        <v>23.2</v>
      </c>
      <c r="S21" s="206">
        <v>41.9</v>
      </c>
      <c r="T21" s="206">
        <v>30.4</v>
      </c>
      <c r="U21" s="206">
        <v>54.6</v>
      </c>
      <c r="V21" s="61">
        <f t="shared" si="7"/>
        <v>31.833333333333332</v>
      </c>
      <c r="W21" s="97">
        <v>87.4</v>
      </c>
      <c r="X21" s="95">
        <v>83.1</v>
      </c>
      <c r="Y21" s="99">
        <f>AVERAGE(W21,X21)</f>
        <v>85.25</v>
      </c>
      <c r="Z21" s="143">
        <f t="shared" si="5"/>
        <v>60.022222222222219</v>
      </c>
      <c r="AA21" s="144">
        <f t="shared" si="6"/>
        <v>60.08</v>
      </c>
    </row>
    <row r="22" spans="1:27" ht="14" x14ac:dyDescent="0.2">
      <c r="A22" s="47" t="s">
        <v>419</v>
      </c>
      <c r="B22" s="66" t="s">
        <v>21</v>
      </c>
      <c r="C22" s="127">
        <v>70.099999999999994</v>
      </c>
      <c r="D22" s="127">
        <v>57</v>
      </c>
      <c r="E22" s="127">
        <v>69</v>
      </c>
      <c r="F22" s="37">
        <v>61.9</v>
      </c>
      <c r="G22" s="44">
        <v>64.400000000000006</v>
      </c>
      <c r="H22" s="211">
        <v>63.3</v>
      </c>
      <c r="I22" s="167">
        <v>84.6</v>
      </c>
      <c r="J22" s="37">
        <v>11</v>
      </c>
      <c r="K22" s="38">
        <v>60</v>
      </c>
      <c r="L22" s="117">
        <v>35.5</v>
      </c>
      <c r="M22" s="145">
        <v>14.3</v>
      </c>
      <c r="N22" s="204">
        <v>63.2</v>
      </c>
      <c r="O22" s="146">
        <v>38.700000000000003</v>
      </c>
      <c r="P22" s="120">
        <f t="shared" ref="P22:P44" si="24">AVERAGE(C22,D22,E22,F22,I22,J22)</f>
        <v>58.933333333333337</v>
      </c>
      <c r="Q22" s="122">
        <f t="shared" ref="Q22:Q44" si="25">AVERAGE(L22,I22,H22,E22,D22,C22)</f>
        <v>63.25</v>
      </c>
      <c r="R22" s="61">
        <v>10.3</v>
      </c>
      <c r="S22" s="206">
        <v>45.1</v>
      </c>
      <c r="T22" s="206">
        <v>32.4</v>
      </c>
      <c r="U22" s="206">
        <v>59.4</v>
      </c>
      <c r="V22" s="61">
        <f t="shared" si="7"/>
        <v>29.266666666666669</v>
      </c>
      <c r="W22" s="97">
        <v>90.7</v>
      </c>
      <c r="X22" s="95">
        <v>85.7</v>
      </c>
      <c r="Y22" s="99">
        <f t="shared" si="8"/>
        <v>88.2</v>
      </c>
      <c r="Z22" s="143">
        <f t="shared" si="5"/>
        <v>60.238888888888887</v>
      </c>
      <c r="AA22" s="144">
        <f t="shared" si="6"/>
        <v>59.720000000000006</v>
      </c>
    </row>
    <row r="23" spans="1:27" ht="14" x14ac:dyDescent="0.2">
      <c r="A23" s="47" t="s">
        <v>450</v>
      </c>
      <c r="B23" s="66" t="s">
        <v>21</v>
      </c>
      <c r="C23" s="162">
        <v>72.3</v>
      </c>
      <c r="D23" s="127">
        <v>54</v>
      </c>
      <c r="E23" s="162">
        <v>66.7</v>
      </c>
      <c r="F23" s="124">
        <v>60</v>
      </c>
      <c r="G23" s="210">
        <v>62.3</v>
      </c>
      <c r="H23" s="61">
        <v>61.3</v>
      </c>
      <c r="I23" s="168">
        <v>74.7</v>
      </c>
      <c r="J23" s="37">
        <v>15</v>
      </c>
      <c r="K23" s="38">
        <v>80</v>
      </c>
      <c r="L23" s="117">
        <v>47.5</v>
      </c>
      <c r="M23" s="61">
        <v>14.3</v>
      </c>
      <c r="N23" s="61">
        <v>67.7</v>
      </c>
      <c r="O23" s="61">
        <v>41</v>
      </c>
      <c r="P23" s="120">
        <f>AVERAGE(C23,D23,E23,F23,I23,J23)</f>
        <v>57.116666666666667</v>
      </c>
      <c r="Q23" s="122">
        <f>AVERAGE(L23,I23,H23,E23,D23,C23)</f>
        <v>62.75</v>
      </c>
      <c r="R23" s="61">
        <v>20.5</v>
      </c>
      <c r="S23" s="61">
        <v>39</v>
      </c>
      <c r="T23" s="61">
        <v>29.3</v>
      </c>
      <c r="U23" s="61">
        <v>53.9</v>
      </c>
      <c r="V23" s="61">
        <f>AVERAGE(R23:U23)</f>
        <v>35.674999999999997</v>
      </c>
      <c r="W23" s="97">
        <v>86.6</v>
      </c>
      <c r="X23" s="95">
        <v>82.2</v>
      </c>
      <c r="Y23" s="99">
        <f t="shared" ref="Y23:Y29" si="26">AVERAGE(W23,X23)</f>
        <v>84.4</v>
      </c>
      <c r="Z23" s="143">
        <f t="shared" si="5"/>
        <v>60.941666666666663</v>
      </c>
      <c r="AA23" s="144">
        <f t="shared" si="6"/>
        <v>59.38000000000001</v>
      </c>
    </row>
    <row r="24" spans="1:27" ht="14" x14ac:dyDescent="0.2">
      <c r="A24" s="47" t="s">
        <v>443</v>
      </c>
      <c r="B24" s="66" t="s">
        <v>21</v>
      </c>
      <c r="C24" s="127">
        <v>72</v>
      </c>
      <c r="D24" s="127">
        <v>58.6</v>
      </c>
      <c r="E24" s="127">
        <v>69.599999999999994</v>
      </c>
      <c r="F24" s="37">
        <v>45.3</v>
      </c>
      <c r="G24" s="44">
        <v>47.1</v>
      </c>
      <c r="H24" s="211">
        <v>46.3</v>
      </c>
      <c r="I24" s="167">
        <v>76.3</v>
      </c>
      <c r="J24" s="37">
        <v>10</v>
      </c>
      <c r="K24" s="38">
        <v>76</v>
      </c>
      <c r="L24" s="117">
        <v>43</v>
      </c>
      <c r="M24" s="61">
        <v>7.5</v>
      </c>
      <c r="N24" s="206">
        <v>14.3</v>
      </c>
      <c r="O24" s="61">
        <v>10.9</v>
      </c>
      <c r="P24" s="120">
        <f t="shared" ref="P24" si="27">AVERAGE(C24,D24,E24,F24,I24,J24)</f>
        <v>55.300000000000004</v>
      </c>
      <c r="Q24" s="122">
        <f t="shared" ref="Q24" si="28">AVERAGE(L24,I24,H24,E24,D24,C24)</f>
        <v>60.966666666666669</v>
      </c>
      <c r="R24" s="61">
        <v>22.4</v>
      </c>
      <c r="S24" s="206">
        <v>45.4</v>
      </c>
      <c r="T24" s="206">
        <v>36.1</v>
      </c>
      <c r="U24" s="206">
        <v>58.7</v>
      </c>
      <c r="V24" s="61">
        <f t="shared" si="7"/>
        <v>34.633333333333333</v>
      </c>
      <c r="W24" s="97">
        <v>87.7</v>
      </c>
      <c r="X24" s="95">
        <v>83.4</v>
      </c>
      <c r="Y24" s="99">
        <f t="shared" si="26"/>
        <v>85.550000000000011</v>
      </c>
      <c r="Z24" s="143">
        <f t="shared" si="5"/>
        <v>60.383333333333333</v>
      </c>
      <c r="AA24" s="144">
        <f t="shared" si="6"/>
        <v>59.44</v>
      </c>
    </row>
    <row r="25" spans="1:27" ht="14" x14ac:dyDescent="0.2">
      <c r="A25" s="47" t="s">
        <v>439</v>
      </c>
      <c r="B25" s="66" t="s">
        <v>21</v>
      </c>
      <c r="C25" s="127">
        <v>72.3</v>
      </c>
      <c r="D25" s="127">
        <v>56.2</v>
      </c>
      <c r="E25" s="127">
        <v>66.7</v>
      </c>
      <c r="F25" s="37">
        <v>59.4</v>
      </c>
      <c r="G25" s="44">
        <v>61.8</v>
      </c>
      <c r="H25" s="211">
        <v>60.8</v>
      </c>
      <c r="I25" s="167">
        <v>84.4</v>
      </c>
      <c r="J25" s="37">
        <v>10</v>
      </c>
      <c r="K25" s="38">
        <v>86</v>
      </c>
      <c r="L25" s="117">
        <v>48</v>
      </c>
      <c r="M25" s="61">
        <v>6</v>
      </c>
      <c r="N25" s="206">
        <v>27.8</v>
      </c>
      <c r="O25" s="61">
        <v>16.899999999999999</v>
      </c>
      <c r="P25" s="120">
        <f t="shared" ref="P25:P32" si="29">AVERAGE(C25,D25,E25,F25,I25,J25)</f>
        <v>58.166666666666664</v>
      </c>
      <c r="Q25" s="122">
        <f t="shared" ref="Q25:Q32" si="30">AVERAGE(L25,I25,H25,E25,D25,C25)</f>
        <v>64.733333333333334</v>
      </c>
      <c r="R25" s="61">
        <v>6.6</v>
      </c>
      <c r="S25" s="206">
        <v>42.7</v>
      </c>
      <c r="T25" s="206">
        <v>22.3</v>
      </c>
      <c r="U25" s="206">
        <v>54.5</v>
      </c>
      <c r="V25" s="61">
        <f t="shared" si="7"/>
        <v>23.866666666666671</v>
      </c>
      <c r="W25" s="97">
        <v>90</v>
      </c>
      <c r="X25" s="95">
        <v>84.9</v>
      </c>
      <c r="Y25" s="99">
        <f t="shared" si="26"/>
        <v>87.45</v>
      </c>
      <c r="Z25" s="143">
        <f t="shared" si="5"/>
        <v>58.683333333333337</v>
      </c>
      <c r="AA25" s="144">
        <f t="shared" si="6"/>
        <v>59.080000000000005</v>
      </c>
    </row>
    <row r="26" spans="1:27" ht="14" x14ac:dyDescent="0.2">
      <c r="A26" s="47" t="s">
        <v>412</v>
      </c>
      <c r="B26" s="225" t="s">
        <v>21</v>
      </c>
      <c r="C26" s="226">
        <v>63.1</v>
      </c>
      <c r="D26" s="245">
        <v>56</v>
      </c>
      <c r="E26" s="226">
        <v>65.2</v>
      </c>
      <c r="F26" s="227">
        <v>64.7</v>
      </c>
      <c r="G26" s="228">
        <v>66.599999999999994</v>
      </c>
      <c r="H26" s="229">
        <v>65.8</v>
      </c>
      <c r="I26" s="230">
        <v>77.3</v>
      </c>
      <c r="J26" s="231">
        <v>9</v>
      </c>
      <c r="K26" s="232">
        <v>63</v>
      </c>
      <c r="L26" s="233">
        <v>36</v>
      </c>
      <c r="M26" s="234"/>
      <c r="N26" s="141"/>
      <c r="O26" s="234"/>
      <c r="P26" s="225">
        <f t="shared" si="29"/>
        <v>55.883333333333333</v>
      </c>
      <c r="Q26" s="122">
        <f t="shared" si="30"/>
        <v>60.56666666666667</v>
      </c>
      <c r="R26" s="234">
        <v>9.4</v>
      </c>
      <c r="S26" s="141">
        <v>45</v>
      </c>
      <c r="T26" s="141">
        <v>43.9</v>
      </c>
      <c r="U26" s="141">
        <v>64.3</v>
      </c>
      <c r="V26" s="61">
        <f t="shared" si="7"/>
        <v>32.766666666666666</v>
      </c>
      <c r="W26" s="97">
        <v>90.3</v>
      </c>
      <c r="X26" s="95">
        <v>85.4</v>
      </c>
      <c r="Y26" s="99">
        <f t="shared" si="26"/>
        <v>87.85</v>
      </c>
      <c r="Z26" s="143">
        <f t="shared" si="5"/>
        <v>60.394444444444446</v>
      </c>
      <c r="AA26" s="144">
        <f t="shared" si="6"/>
        <v>59.129999999999995</v>
      </c>
    </row>
    <row r="27" spans="1:27" ht="14" x14ac:dyDescent="0.2">
      <c r="A27" s="47" t="s">
        <v>441</v>
      </c>
      <c r="B27" s="66" t="s">
        <v>21</v>
      </c>
      <c r="C27" s="127">
        <v>67.400000000000006</v>
      </c>
      <c r="D27" s="127">
        <v>65.599999999999994</v>
      </c>
      <c r="E27" s="127">
        <v>71.3</v>
      </c>
      <c r="F27" s="37">
        <v>56.3</v>
      </c>
      <c r="G27" s="44">
        <v>58.7</v>
      </c>
      <c r="H27" s="211">
        <v>57.7</v>
      </c>
      <c r="I27" s="167">
        <v>84.3</v>
      </c>
      <c r="J27" s="37">
        <v>6</v>
      </c>
      <c r="K27" s="38">
        <v>69</v>
      </c>
      <c r="L27" s="117">
        <v>37.5</v>
      </c>
      <c r="M27" s="61">
        <v>2.2999999999999998</v>
      </c>
      <c r="N27" s="206">
        <v>16.5</v>
      </c>
      <c r="O27" s="61">
        <v>9.4</v>
      </c>
      <c r="P27" s="120">
        <f t="shared" si="29"/>
        <v>58.483333333333341</v>
      </c>
      <c r="Q27" s="122">
        <f t="shared" si="30"/>
        <v>63.966666666666661</v>
      </c>
      <c r="R27" s="61">
        <v>5.9</v>
      </c>
      <c r="S27" s="206">
        <v>42.7</v>
      </c>
      <c r="T27" s="206">
        <v>24.7</v>
      </c>
      <c r="U27" s="206">
        <v>53.5</v>
      </c>
      <c r="V27" s="61">
        <f t="shared" si="7"/>
        <v>24.433333333333334</v>
      </c>
      <c r="W27" s="97">
        <v>90.5</v>
      </c>
      <c r="X27" s="95">
        <v>86</v>
      </c>
      <c r="Y27" s="99">
        <f t="shared" si="26"/>
        <v>88.25</v>
      </c>
      <c r="Z27" s="143">
        <f t="shared" si="5"/>
        <v>58.883333333333326</v>
      </c>
      <c r="AA27" s="144">
        <f t="shared" si="6"/>
        <v>58.95</v>
      </c>
    </row>
    <row r="28" spans="1:27" ht="14" x14ac:dyDescent="0.2">
      <c r="A28" s="47" t="s">
        <v>442</v>
      </c>
      <c r="B28" s="66" t="s">
        <v>21</v>
      </c>
      <c r="C28" s="127">
        <v>69</v>
      </c>
      <c r="D28" s="127">
        <v>63.2</v>
      </c>
      <c r="E28" s="127">
        <v>61.1</v>
      </c>
      <c r="F28" s="37">
        <v>56.6</v>
      </c>
      <c r="G28" s="44">
        <v>58.9</v>
      </c>
      <c r="H28" s="211">
        <v>57.9</v>
      </c>
      <c r="I28" s="167">
        <v>83.2</v>
      </c>
      <c r="J28" s="37">
        <v>9</v>
      </c>
      <c r="K28" s="38">
        <v>90</v>
      </c>
      <c r="L28" s="117">
        <v>49.5</v>
      </c>
      <c r="M28" s="61">
        <v>4.5</v>
      </c>
      <c r="N28" s="206">
        <v>17.3</v>
      </c>
      <c r="O28" s="61">
        <v>10.9</v>
      </c>
      <c r="P28" s="120">
        <f t="shared" si="29"/>
        <v>57.016666666666659</v>
      </c>
      <c r="Q28" s="122">
        <f t="shared" si="30"/>
        <v>63.983333333333327</v>
      </c>
      <c r="R28" s="61">
        <v>6.6</v>
      </c>
      <c r="S28" s="206">
        <v>43.2</v>
      </c>
      <c r="T28" s="206">
        <v>19.899999999999999</v>
      </c>
      <c r="U28" s="206">
        <v>52.1</v>
      </c>
      <c r="V28" s="61">
        <f t="shared" si="7"/>
        <v>23.233333333333334</v>
      </c>
      <c r="W28" s="97">
        <v>89.6</v>
      </c>
      <c r="X28" s="95">
        <v>85.1</v>
      </c>
      <c r="Y28" s="99">
        <f t="shared" si="26"/>
        <v>87.35</v>
      </c>
      <c r="Z28" s="143">
        <f t="shared" si="5"/>
        <v>58.18888888888889</v>
      </c>
      <c r="AA28" s="144">
        <f t="shared" si="6"/>
        <v>58.379999999999995</v>
      </c>
    </row>
    <row r="29" spans="1:27" ht="14" x14ac:dyDescent="0.2">
      <c r="A29" s="47" t="s">
        <v>448</v>
      </c>
      <c r="B29" s="133" t="s">
        <v>21</v>
      </c>
      <c r="C29" s="246">
        <v>73.8</v>
      </c>
      <c r="D29" s="130">
        <v>55.8</v>
      </c>
      <c r="E29" s="246">
        <v>62.6</v>
      </c>
      <c r="F29" s="247">
        <v>59.8</v>
      </c>
      <c r="G29" s="248">
        <v>61.9</v>
      </c>
      <c r="H29" s="249">
        <v>61</v>
      </c>
      <c r="I29" s="250">
        <v>83.3</v>
      </c>
      <c r="J29" s="90">
        <v>7</v>
      </c>
      <c r="K29" s="91">
        <v>70</v>
      </c>
      <c r="L29" s="118">
        <v>38.5</v>
      </c>
      <c r="M29" s="92">
        <v>1.5</v>
      </c>
      <c r="N29" s="113">
        <v>20.3</v>
      </c>
      <c r="O29" s="92">
        <v>10.9</v>
      </c>
      <c r="P29" s="134">
        <f>AVERAGE(C29,D29,E29,F29,I29,J29)</f>
        <v>57.050000000000004</v>
      </c>
      <c r="Q29" s="122">
        <f>AVERAGE(L29,I29,H29,E29,D29,C29)</f>
        <v>62.5</v>
      </c>
      <c r="R29" s="92">
        <v>4.8</v>
      </c>
      <c r="S29" s="113">
        <v>43.1</v>
      </c>
      <c r="T29" s="113">
        <v>28.1</v>
      </c>
      <c r="U29" s="113">
        <v>55.6</v>
      </c>
      <c r="V29" s="61">
        <f>AVERAGE(R29:U29)</f>
        <v>32.9</v>
      </c>
      <c r="W29" s="97">
        <v>90.1</v>
      </c>
      <c r="X29" s="95">
        <v>85.4</v>
      </c>
      <c r="Y29" s="99">
        <f t="shared" si="26"/>
        <v>87.75</v>
      </c>
      <c r="Z29" s="143">
        <f t="shared" si="5"/>
        <v>61.050000000000004</v>
      </c>
      <c r="AA29" s="144">
        <f t="shared" si="6"/>
        <v>58.220000000000006</v>
      </c>
    </row>
    <row r="30" spans="1:27" ht="14" x14ac:dyDescent="0.2">
      <c r="A30" s="47" t="s">
        <v>416</v>
      </c>
      <c r="B30" s="66" t="s">
        <v>21</v>
      </c>
      <c r="C30" s="162">
        <v>53.4</v>
      </c>
      <c r="D30" s="127">
        <v>46.2</v>
      </c>
      <c r="E30" s="162">
        <v>63.2</v>
      </c>
      <c r="F30" s="124">
        <v>48.7</v>
      </c>
      <c r="G30" s="210">
        <v>52.2</v>
      </c>
      <c r="H30" s="211">
        <v>50.7</v>
      </c>
      <c r="I30" s="168">
        <v>86.7</v>
      </c>
      <c r="J30" s="37">
        <v>10</v>
      </c>
      <c r="K30" s="38">
        <v>91</v>
      </c>
      <c r="L30" s="117">
        <v>50.5</v>
      </c>
      <c r="M30" s="61"/>
      <c r="N30" s="206"/>
      <c r="O30" s="61"/>
      <c r="P30" s="120">
        <f t="shared" si="29"/>
        <v>51.366666666666667</v>
      </c>
      <c r="Q30" s="122">
        <f t="shared" si="30"/>
        <v>58.449999999999989</v>
      </c>
      <c r="R30" s="61">
        <v>21</v>
      </c>
      <c r="S30" s="206">
        <v>51.1</v>
      </c>
      <c r="T30" s="206">
        <v>39</v>
      </c>
      <c r="U30" s="206">
        <v>63.8</v>
      </c>
      <c r="V30" s="61">
        <f t="shared" si="7"/>
        <v>37.033333333333331</v>
      </c>
      <c r="W30" s="97">
        <v>88.6</v>
      </c>
      <c r="X30" s="95">
        <v>84.4</v>
      </c>
      <c r="Y30" s="99">
        <f t="shared" si="8"/>
        <v>86.5</v>
      </c>
      <c r="Z30" s="143">
        <f t="shared" si="5"/>
        <v>60.661111111111104</v>
      </c>
      <c r="AA30" s="144">
        <f t="shared" si="6"/>
        <v>58.169999999999995</v>
      </c>
    </row>
    <row r="31" spans="1:27" ht="14" x14ac:dyDescent="0.2">
      <c r="A31" s="47" t="s">
        <v>410</v>
      </c>
      <c r="B31" s="66" t="s">
        <v>21</v>
      </c>
      <c r="C31" s="162">
        <v>77.599999999999994</v>
      </c>
      <c r="D31" s="127">
        <v>47.6</v>
      </c>
      <c r="E31" s="162">
        <v>64.5</v>
      </c>
      <c r="F31" s="124">
        <v>36</v>
      </c>
      <c r="G31" s="210">
        <v>39.9</v>
      </c>
      <c r="H31" s="211">
        <v>38.299999999999997</v>
      </c>
      <c r="I31" s="168">
        <v>79.3</v>
      </c>
      <c r="J31" s="37">
        <v>6</v>
      </c>
      <c r="K31" s="38">
        <v>92</v>
      </c>
      <c r="L31" s="117">
        <v>49</v>
      </c>
      <c r="M31" s="61"/>
      <c r="N31" s="206"/>
      <c r="O31" s="61"/>
      <c r="P31" s="120">
        <f t="shared" si="29"/>
        <v>51.833333333333336</v>
      </c>
      <c r="Q31" s="122">
        <f t="shared" si="30"/>
        <v>59.383333333333347</v>
      </c>
      <c r="R31" s="61">
        <v>8</v>
      </c>
      <c r="S31" s="206">
        <v>43.6</v>
      </c>
      <c r="T31" s="206">
        <v>43.6</v>
      </c>
      <c r="U31" s="206">
        <v>66.3</v>
      </c>
      <c r="V31" s="61">
        <f t="shared" si="7"/>
        <v>31.733333333333334</v>
      </c>
      <c r="W31" s="97">
        <v>90.7</v>
      </c>
      <c r="X31" s="95">
        <v>85.6</v>
      </c>
      <c r="Y31" s="99">
        <f t="shared" si="8"/>
        <v>88.15</v>
      </c>
      <c r="Z31" s="143">
        <f t="shared" si="5"/>
        <v>59.75555555555556</v>
      </c>
      <c r="AA31" s="144">
        <f t="shared" si="6"/>
        <v>58.19</v>
      </c>
    </row>
    <row r="32" spans="1:27" ht="15.75" customHeight="1" x14ac:dyDescent="0.2">
      <c r="A32" s="175" t="s">
        <v>431</v>
      </c>
      <c r="B32" s="134" t="s">
        <v>21</v>
      </c>
      <c r="C32" s="183">
        <v>71.3</v>
      </c>
      <c r="D32" s="69">
        <v>57.6</v>
      </c>
      <c r="E32" s="183">
        <v>67.7</v>
      </c>
      <c r="F32" s="184">
        <v>51.2</v>
      </c>
      <c r="G32" s="209">
        <v>55.4</v>
      </c>
      <c r="H32" s="214">
        <v>53.7</v>
      </c>
      <c r="I32" s="183">
        <v>82.5</v>
      </c>
      <c r="J32" s="187">
        <v>13</v>
      </c>
      <c r="K32" s="188">
        <v>84</v>
      </c>
      <c r="L32" s="115">
        <v>48.5</v>
      </c>
      <c r="M32" s="216">
        <v>7.5</v>
      </c>
      <c r="N32" s="217">
        <v>33.1</v>
      </c>
      <c r="O32" s="218">
        <v>20.3</v>
      </c>
      <c r="P32" s="69">
        <f t="shared" si="29"/>
        <v>57.216666666666669</v>
      </c>
      <c r="Q32" s="69">
        <f t="shared" si="30"/>
        <v>63.550000000000004</v>
      </c>
      <c r="R32" s="220">
        <v>6.8</v>
      </c>
      <c r="S32" s="221">
        <v>39.5</v>
      </c>
      <c r="T32" s="221">
        <v>21.2</v>
      </c>
      <c r="U32" s="221">
        <v>51.2</v>
      </c>
      <c r="V32" s="61">
        <f t="shared" si="7"/>
        <v>22.5</v>
      </c>
      <c r="W32" s="187">
        <v>89.2</v>
      </c>
      <c r="X32" s="188">
        <v>84.7</v>
      </c>
      <c r="Y32" s="115">
        <f t="shared" si="8"/>
        <v>86.95</v>
      </c>
      <c r="Z32" s="143">
        <f t="shared" si="5"/>
        <v>57.666666666666664</v>
      </c>
      <c r="AA32" s="144">
        <f t="shared" si="6"/>
        <v>58.070000000000007</v>
      </c>
    </row>
    <row r="33" spans="1:27" ht="14" x14ac:dyDescent="0.2">
      <c r="A33" s="47" t="s">
        <v>426</v>
      </c>
      <c r="B33" s="66" t="s">
        <v>21</v>
      </c>
      <c r="C33" s="127">
        <v>70</v>
      </c>
      <c r="D33" s="127">
        <v>49.6</v>
      </c>
      <c r="E33" s="127">
        <v>65.900000000000006</v>
      </c>
      <c r="F33" s="37">
        <v>43.6</v>
      </c>
      <c r="G33" s="44">
        <v>46.7</v>
      </c>
      <c r="H33" s="211">
        <v>45.4</v>
      </c>
      <c r="I33" s="167">
        <v>85.5</v>
      </c>
      <c r="J33" s="37">
        <v>7</v>
      </c>
      <c r="K33" s="38">
        <v>80</v>
      </c>
      <c r="L33" s="117">
        <v>43.5</v>
      </c>
      <c r="M33" s="61">
        <v>18.100000000000001</v>
      </c>
      <c r="N33" s="206">
        <v>31.6</v>
      </c>
      <c r="O33" s="61">
        <v>24.8</v>
      </c>
      <c r="P33" s="235">
        <f t="shared" ref="P33" si="31">AVERAGE(C33,D33,E33,F33,I33,J33)</f>
        <v>53.6</v>
      </c>
      <c r="Q33" s="122">
        <f t="shared" ref="Q33" si="32">AVERAGE(L33,I33,H33,E33,D33,C33)</f>
        <v>59.983333333333341</v>
      </c>
      <c r="R33" s="61">
        <v>11.5</v>
      </c>
      <c r="S33" s="206">
        <v>44.7</v>
      </c>
      <c r="T33" s="206">
        <v>38.6</v>
      </c>
      <c r="U33" s="206">
        <v>63.9</v>
      </c>
      <c r="V33" s="61">
        <f t="shared" si="7"/>
        <v>31.600000000000005</v>
      </c>
      <c r="W33" s="97">
        <v>88.8</v>
      </c>
      <c r="X33" s="95">
        <v>84.3</v>
      </c>
      <c r="Y33" s="99">
        <f t="shared" si="8"/>
        <v>86.55</v>
      </c>
      <c r="Z33" s="143">
        <f t="shared" si="5"/>
        <v>59.377777777777773</v>
      </c>
      <c r="AA33" s="144">
        <f t="shared" si="6"/>
        <v>58.13000000000001</v>
      </c>
    </row>
    <row r="34" spans="1:27" ht="13" customHeight="1" x14ac:dyDescent="0.2">
      <c r="A34" s="47" t="s">
        <v>389</v>
      </c>
      <c r="B34" s="128" t="s">
        <v>21</v>
      </c>
      <c r="C34" s="127">
        <v>57.3</v>
      </c>
      <c r="D34" s="127">
        <v>52.6</v>
      </c>
      <c r="E34" s="127">
        <v>58.9</v>
      </c>
      <c r="F34" s="160">
        <v>67.099999999999994</v>
      </c>
      <c r="G34" s="208">
        <v>68.900000000000006</v>
      </c>
      <c r="H34" s="213">
        <v>68.099999999999994</v>
      </c>
      <c r="I34" s="167">
        <v>80.099999999999994</v>
      </c>
      <c r="J34" s="37">
        <v>13</v>
      </c>
      <c r="K34" s="38">
        <v>73</v>
      </c>
      <c r="L34" s="117">
        <v>43</v>
      </c>
      <c r="M34" s="61"/>
      <c r="N34" s="206"/>
      <c r="O34" s="61"/>
      <c r="P34" s="120">
        <f>AVERAGE(C34,D34,E34,F34,I34,J34)</f>
        <v>54.833333333333336</v>
      </c>
      <c r="Q34" s="122">
        <f>AVERAGE(L34,I34,H34,E34,D34,C34)</f>
        <v>60</v>
      </c>
      <c r="R34" s="61">
        <v>16.100000000000001</v>
      </c>
      <c r="S34" s="206">
        <v>48.6</v>
      </c>
      <c r="T34" s="206">
        <v>35.4</v>
      </c>
      <c r="U34" s="206">
        <v>61.5</v>
      </c>
      <c r="V34" s="61">
        <f t="shared" si="7"/>
        <v>33.366666666666667</v>
      </c>
      <c r="W34" s="97">
        <v>86.8</v>
      </c>
      <c r="X34" s="95">
        <v>82.8</v>
      </c>
      <c r="Y34" s="99">
        <f t="shared" si="8"/>
        <v>84.8</v>
      </c>
      <c r="Z34" s="143">
        <f t="shared" si="5"/>
        <v>59.388888888888893</v>
      </c>
      <c r="AA34" s="144">
        <f t="shared" si="6"/>
        <v>58.010000000000005</v>
      </c>
    </row>
    <row r="35" spans="1:27" ht="14" x14ac:dyDescent="0.2">
      <c r="A35" s="47" t="s">
        <v>418</v>
      </c>
      <c r="B35" s="66" t="s">
        <v>21</v>
      </c>
      <c r="C35" s="162">
        <v>63.4</v>
      </c>
      <c r="D35" s="162">
        <v>42.4</v>
      </c>
      <c r="E35" s="162">
        <v>62.4</v>
      </c>
      <c r="F35" s="124">
        <v>46</v>
      </c>
      <c r="G35" s="210">
        <v>49.4</v>
      </c>
      <c r="H35" s="211">
        <v>48</v>
      </c>
      <c r="I35" s="168">
        <v>70.900000000000006</v>
      </c>
      <c r="J35" s="37">
        <v>16</v>
      </c>
      <c r="K35" s="38">
        <v>83</v>
      </c>
      <c r="L35" s="117">
        <v>49.5</v>
      </c>
      <c r="M35" s="61"/>
      <c r="N35" s="206"/>
      <c r="O35" s="61"/>
      <c r="P35" s="120">
        <f>AVERAGE(C35,D35,E35,F35,I35,J35)</f>
        <v>50.183333333333337</v>
      </c>
      <c r="Q35" s="122">
        <f>AVERAGE(L35,I35,H35,E35,D35,C35)</f>
        <v>56.099999999999994</v>
      </c>
      <c r="R35" s="61">
        <v>20.9</v>
      </c>
      <c r="S35" s="206">
        <v>50.4</v>
      </c>
      <c r="T35" s="206">
        <v>46.4</v>
      </c>
      <c r="U35" s="206">
        <v>67.2</v>
      </c>
      <c r="V35" s="61">
        <f t="shared" si="7"/>
        <v>39.233333333333327</v>
      </c>
      <c r="W35" s="97">
        <v>89.5</v>
      </c>
      <c r="X35" s="95">
        <v>85</v>
      </c>
      <c r="Y35" s="99">
        <f t="shared" si="8"/>
        <v>87.25</v>
      </c>
      <c r="Z35" s="143">
        <f t="shared" si="5"/>
        <v>60.861111111111107</v>
      </c>
      <c r="AA35" s="144">
        <f t="shared" si="6"/>
        <v>57.64</v>
      </c>
    </row>
    <row r="36" spans="1:27" ht="14" x14ac:dyDescent="0.2">
      <c r="A36" s="47" t="s">
        <v>438</v>
      </c>
      <c r="B36" s="66" t="s">
        <v>21</v>
      </c>
      <c r="C36" s="127">
        <v>62.6</v>
      </c>
      <c r="D36" s="127">
        <v>61.8</v>
      </c>
      <c r="E36" s="127">
        <v>66.400000000000006</v>
      </c>
      <c r="F36" s="37">
        <v>59.3</v>
      </c>
      <c r="G36" s="44">
        <v>62.2</v>
      </c>
      <c r="H36" s="211">
        <v>61</v>
      </c>
      <c r="I36" s="167">
        <v>83</v>
      </c>
      <c r="J36" s="37">
        <v>11</v>
      </c>
      <c r="K36" s="38">
        <v>67</v>
      </c>
      <c r="L36" s="117">
        <v>39</v>
      </c>
      <c r="M36" s="61">
        <v>7.5</v>
      </c>
      <c r="N36" s="206">
        <v>56.4</v>
      </c>
      <c r="O36" s="61">
        <v>32</v>
      </c>
      <c r="P36" s="120">
        <f>AVERAGE(C36,D36,E36,F36,I36,J36)</f>
        <v>57.35</v>
      </c>
      <c r="Q36" s="122">
        <f>AVERAGE(L36,I36,H36,E36,D36,C36)</f>
        <v>62.300000000000004</v>
      </c>
      <c r="R36" s="61">
        <v>5.3</v>
      </c>
      <c r="S36" s="206">
        <v>42.2</v>
      </c>
      <c r="T36" s="206">
        <v>21.9</v>
      </c>
      <c r="U36" s="206">
        <v>52.9</v>
      </c>
      <c r="V36" s="61">
        <f t="shared" si="7"/>
        <v>23.133333333333336</v>
      </c>
      <c r="W36" s="97">
        <v>90.2</v>
      </c>
      <c r="X36" s="95">
        <v>85.4</v>
      </c>
      <c r="Y36" s="99">
        <f>AVERAGE(W36,X36)</f>
        <v>87.800000000000011</v>
      </c>
      <c r="Z36" s="143">
        <f t="shared" si="5"/>
        <v>57.744444444444447</v>
      </c>
      <c r="AA36" s="144">
        <f t="shared" si="6"/>
        <v>57.489999999999995</v>
      </c>
    </row>
    <row r="37" spans="1:27" ht="14" x14ac:dyDescent="0.2">
      <c r="A37" s="47" t="s">
        <v>398</v>
      </c>
      <c r="B37" s="66" t="s">
        <v>358</v>
      </c>
      <c r="C37" s="120">
        <v>25.6</v>
      </c>
      <c r="D37" s="120">
        <v>47</v>
      </c>
      <c r="E37" s="120">
        <v>65.2</v>
      </c>
      <c r="F37" s="34">
        <v>22.6</v>
      </c>
      <c r="G37" s="43">
        <v>23.9</v>
      </c>
      <c r="H37" s="211">
        <v>23.4</v>
      </c>
      <c r="I37" s="165">
        <v>88.5</v>
      </c>
      <c r="J37" s="34">
        <v>26</v>
      </c>
      <c r="K37" s="35">
        <v>72</v>
      </c>
      <c r="L37" s="64">
        <v>49</v>
      </c>
      <c r="M37" s="61">
        <v>2</v>
      </c>
      <c r="N37" s="206">
        <v>3</v>
      </c>
      <c r="O37" s="61">
        <v>2.2999999999999998</v>
      </c>
      <c r="P37" s="120">
        <f t="shared" ref="P37" si="33">AVERAGE(C37,D37,E37,F37,I37,J37)</f>
        <v>45.816666666666663</v>
      </c>
      <c r="Q37" s="139">
        <f t="shared" ref="Q37" si="34">AVERAGE(L37,I37,H37,E37,D37,C37)</f>
        <v>49.783333333333339</v>
      </c>
      <c r="R37" s="61">
        <v>29.9</v>
      </c>
      <c r="S37" s="206">
        <v>57.5</v>
      </c>
      <c r="T37" s="206">
        <v>57.1</v>
      </c>
      <c r="U37" s="206">
        <v>72.3</v>
      </c>
      <c r="V37" s="61">
        <f t="shared" si="7"/>
        <v>48.166666666666664</v>
      </c>
      <c r="W37" s="140">
        <v>93.9</v>
      </c>
      <c r="X37" s="141">
        <v>88.9</v>
      </c>
      <c r="Y37" s="142">
        <f t="shared" si="8"/>
        <v>91.4</v>
      </c>
      <c r="Z37" s="143">
        <f t="shared" si="5"/>
        <v>63.116666666666674</v>
      </c>
      <c r="AA37" s="144">
        <f t="shared" si="6"/>
        <v>56.769999999999996</v>
      </c>
    </row>
    <row r="38" spans="1:27" ht="14" x14ac:dyDescent="0.2">
      <c r="A38" s="47" t="s">
        <v>427</v>
      </c>
      <c r="B38" s="66" t="s">
        <v>21</v>
      </c>
      <c r="C38" s="127">
        <v>71.900000000000006</v>
      </c>
      <c r="D38" s="127">
        <v>58.2</v>
      </c>
      <c r="E38" s="127">
        <v>71.900000000000006</v>
      </c>
      <c r="F38" s="37">
        <v>30.7</v>
      </c>
      <c r="G38" s="44">
        <v>32</v>
      </c>
      <c r="H38" s="211">
        <v>31.4</v>
      </c>
      <c r="I38" s="167">
        <v>83.6</v>
      </c>
      <c r="J38" s="37">
        <v>15</v>
      </c>
      <c r="K38" s="38">
        <v>76</v>
      </c>
      <c r="L38" s="117">
        <v>45.5</v>
      </c>
      <c r="M38" s="61">
        <v>17.3</v>
      </c>
      <c r="N38" s="224">
        <v>82.7</v>
      </c>
      <c r="O38" s="61">
        <v>50</v>
      </c>
      <c r="P38" s="120">
        <f>AVERAGE(C38,D38,E38,F38,I38,J38)</f>
        <v>55.216666666666669</v>
      </c>
      <c r="Q38" s="122">
        <f>AVERAGE(L38,I38,H38,E38,D38,C38)</f>
        <v>60.416666666666664</v>
      </c>
      <c r="R38" s="61">
        <v>0</v>
      </c>
      <c r="S38" s="206">
        <v>30.8</v>
      </c>
      <c r="T38" s="206">
        <v>13.7</v>
      </c>
      <c r="U38" s="206">
        <v>47.5</v>
      </c>
      <c r="V38" s="61">
        <f t="shared" si="7"/>
        <v>14.833333333333334</v>
      </c>
      <c r="W38" s="97">
        <v>89.5</v>
      </c>
      <c r="X38" s="95">
        <v>84.9</v>
      </c>
      <c r="Y38" s="99">
        <f t="shared" si="8"/>
        <v>87.2</v>
      </c>
      <c r="Z38" s="143">
        <f t="shared" si="5"/>
        <v>54.15</v>
      </c>
      <c r="AA38" s="144">
        <f t="shared" si="6"/>
        <v>54.989999999999995</v>
      </c>
    </row>
    <row r="39" spans="1:27" ht="15.75" customHeight="1" x14ac:dyDescent="0.2">
      <c r="A39" s="175" t="s">
        <v>432</v>
      </c>
      <c r="B39" s="193" t="s">
        <v>21</v>
      </c>
      <c r="C39" s="109">
        <v>70.3</v>
      </c>
      <c r="D39" s="109">
        <v>56</v>
      </c>
      <c r="E39" s="109">
        <v>70</v>
      </c>
      <c r="F39" s="194">
        <v>27</v>
      </c>
      <c r="G39" s="207">
        <v>28.6</v>
      </c>
      <c r="H39" s="212">
        <v>28</v>
      </c>
      <c r="I39" s="109">
        <v>83.5</v>
      </c>
      <c r="J39" s="194">
        <v>16</v>
      </c>
      <c r="K39" s="195">
        <v>90</v>
      </c>
      <c r="L39" s="106">
        <v>53</v>
      </c>
      <c r="M39" s="194">
        <v>15.8</v>
      </c>
      <c r="N39" s="195">
        <v>76.7</v>
      </c>
      <c r="O39" s="106">
        <v>46.2</v>
      </c>
      <c r="P39" s="109">
        <f>AVERAGE(C39,D39,E39,F39,I39,J39)</f>
        <v>53.800000000000004</v>
      </c>
      <c r="Q39" s="109">
        <f>AVERAGE(L39,I39,H39,E39,D39,C39)</f>
        <v>60.133333333333333</v>
      </c>
      <c r="R39" s="194">
        <v>0</v>
      </c>
      <c r="S39" s="195">
        <v>33.299999999999997</v>
      </c>
      <c r="T39" s="195">
        <v>15.9</v>
      </c>
      <c r="U39" s="195">
        <v>49.1</v>
      </c>
      <c r="V39" s="61">
        <f t="shared" si="7"/>
        <v>16.399999999999999</v>
      </c>
      <c r="W39" s="194">
        <v>89</v>
      </c>
      <c r="X39" s="195">
        <v>84.4</v>
      </c>
      <c r="Y39" s="138">
        <f t="shared" si="8"/>
        <v>86.7</v>
      </c>
      <c r="Z39" s="143">
        <f t="shared" si="5"/>
        <v>54.411111111111119</v>
      </c>
      <c r="AA39" s="144">
        <f t="shared" si="6"/>
        <v>54.910000000000004</v>
      </c>
    </row>
    <row r="40" spans="1:27" ht="14" x14ac:dyDescent="0.2">
      <c r="A40" s="47" t="s">
        <v>436</v>
      </c>
      <c r="B40" s="66" t="s">
        <v>21</v>
      </c>
      <c r="C40" s="127">
        <v>63.7</v>
      </c>
      <c r="D40" s="127">
        <v>45</v>
      </c>
      <c r="E40" s="127">
        <v>62</v>
      </c>
      <c r="F40" s="37">
        <v>38.9</v>
      </c>
      <c r="G40" s="44">
        <v>48.6</v>
      </c>
      <c r="H40" s="211">
        <v>39.9</v>
      </c>
      <c r="I40" s="167">
        <v>82.2</v>
      </c>
      <c r="J40" s="37">
        <v>17</v>
      </c>
      <c r="K40" s="38">
        <v>84</v>
      </c>
      <c r="L40" s="117">
        <v>50.5</v>
      </c>
      <c r="M40" s="61">
        <v>12</v>
      </c>
      <c r="N40" s="206">
        <v>51.1</v>
      </c>
      <c r="O40" s="61">
        <v>31.6</v>
      </c>
      <c r="P40" s="120">
        <f t="shared" ref="P40" si="35">AVERAGE(C40,D40,E40,F40,I40,J40)</f>
        <v>51.466666666666669</v>
      </c>
      <c r="Q40" s="122">
        <f t="shared" ref="Q40" si="36">AVERAGE(L40,I40,H40,E40,D40,C40)</f>
        <v>57.216666666666669</v>
      </c>
      <c r="R40" s="61">
        <v>5</v>
      </c>
      <c r="S40" s="206">
        <v>40.200000000000003</v>
      </c>
      <c r="T40" s="206">
        <v>24.8</v>
      </c>
      <c r="U40" s="206">
        <v>53.6</v>
      </c>
      <c r="V40" s="61">
        <f t="shared" si="7"/>
        <v>23.333333333333332</v>
      </c>
      <c r="W40" s="97">
        <v>87.6</v>
      </c>
      <c r="X40" s="95">
        <v>83.3</v>
      </c>
      <c r="Y40" s="99">
        <f t="shared" si="8"/>
        <v>85.449999999999989</v>
      </c>
      <c r="Z40" s="143">
        <f t="shared" si="5"/>
        <v>55.333333333333336</v>
      </c>
      <c r="AA40" s="144">
        <f t="shared" si="6"/>
        <v>54.3</v>
      </c>
    </row>
    <row r="41" spans="1:27" ht="15.75" customHeight="1" x14ac:dyDescent="0.2">
      <c r="A41" s="175" t="s">
        <v>433</v>
      </c>
      <c r="B41" s="193" t="s">
        <v>21</v>
      </c>
      <c r="C41" s="109">
        <v>55.3</v>
      </c>
      <c r="D41" s="109">
        <v>51.8</v>
      </c>
      <c r="E41" s="109">
        <v>66</v>
      </c>
      <c r="F41" s="194">
        <v>44.5</v>
      </c>
      <c r="G41" s="207">
        <v>48</v>
      </c>
      <c r="H41" s="212">
        <v>46.6</v>
      </c>
      <c r="I41" s="109">
        <v>82.8</v>
      </c>
      <c r="J41" s="194">
        <v>5</v>
      </c>
      <c r="K41" s="222">
        <v>93</v>
      </c>
      <c r="L41" s="106">
        <v>49</v>
      </c>
      <c r="M41" s="194">
        <v>15.8</v>
      </c>
      <c r="N41" s="222">
        <v>82.7</v>
      </c>
      <c r="O41" s="106">
        <v>49.3</v>
      </c>
      <c r="P41" s="109">
        <f>AVERAGE(C41,D41,E41,F41,I41,J41)</f>
        <v>50.9</v>
      </c>
      <c r="Q41" s="109">
        <f>AVERAGE(L41,I41,H41,E41,D41,C41)</f>
        <v>58.583333333333336</v>
      </c>
      <c r="R41" s="194">
        <v>4.8</v>
      </c>
      <c r="S41" s="195">
        <v>38.1</v>
      </c>
      <c r="T41" s="195">
        <v>15.3</v>
      </c>
      <c r="U41" s="195">
        <v>48.5</v>
      </c>
      <c r="V41" s="61">
        <f t="shared" si="7"/>
        <v>19.400000000000002</v>
      </c>
      <c r="W41" s="194">
        <v>88.2</v>
      </c>
      <c r="X41" s="195">
        <v>83.8</v>
      </c>
      <c r="Y41" s="219">
        <f t="shared" si="8"/>
        <v>86</v>
      </c>
      <c r="Z41" s="143">
        <f t="shared" si="5"/>
        <v>54.661111111111119</v>
      </c>
      <c r="AA41" s="144">
        <f t="shared" si="6"/>
        <v>54.15</v>
      </c>
    </row>
    <row r="42" spans="1:27" ht="14" x14ac:dyDescent="0.2">
      <c r="A42" s="47" t="s">
        <v>411</v>
      </c>
      <c r="B42" s="66" t="s">
        <v>21</v>
      </c>
      <c r="C42" s="162">
        <v>63.2</v>
      </c>
      <c r="D42" s="162">
        <v>30.2</v>
      </c>
      <c r="E42" s="162">
        <v>54</v>
      </c>
      <c r="F42" s="124">
        <v>44.9</v>
      </c>
      <c r="G42" s="210">
        <v>48.7</v>
      </c>
      <c r="H42" s="211">
        <v>47.1</v>
      </c>
      <c r="I42" s="168">
        <v>81</v>
      </c>
      <c r="J42" s="37">
        <v>15</v>
      </c>
      <c r="K42" s="38">
        <v>87</v>
      </c>
      <c r="L42" s="117">
        <v>51</v>
      </c>
      <c r="M42" s="92"/>
      <c r="N42" s="113"/>
      <c r="O42" s="92"/>
      <c r="P42" s="134">
        <f>AVERAGE(C42,D42,E42,F42,I42,J42)</f>
        <v>48.050000000000004</v>
      </c>
      <c r="Q42" s="135">
        <f>AVERAGE(L42,I42,H42,E42,D42,C42)</f>
        <v>54.416666666666664</v>
      </c>
      <c r="R42" s="92">
        <v>12.3</v>
      </c>
      <c r="S42" s="113">
        <v>46</v>
      </c>
      <c r="T42" s="113">
        <v>38.299999999999997</v>
      </c>
      <c r="U42" s="113">
        <v>63.4</v>
      </c>
      <c r="V42" s="61">
        <f>AVERAGE(R42:T42)</f>
        <v>32.199999999999996</v>
      </c>
      <c r="W42" s="136">
        <v>84.8</v>
      </c>
      <c r="X42" s="137">
        <v>81.3</v>
      </c>
      <c r="Y42" s="138">
        <f>AVERAGE(W42,X42)</f>
        <v>83.05</v>
      </c>
      <c r="Z42" s="143">
        <f t="shared" si="5"/>
        <v>56.55555555555555</v>
      </c>
      <c r="AA42" s="144">
        <f>AVERAGE(C42,D42,E42,F42,I42,L42,R42,T42,W42,X42)</f>
        <v>54.1</v>
      </c>
    </row>
    <row r="43" spans="1:27" ht="14" x14ac:dyDescent="0.2">
      <c r="A43" s="89" t="s">
        <v>413</v>
      </c>
      <c r="B43" s="66" t="s">
        <v>358</v>
      </c>
      <c r="C43" s="127">
        <v>52.9</v>
      </c>
      <c r="D43" s="127">
        <v>18.2</v>
      </c>
      <c r="E43" s="127">
        <v>59.5</v>
      </c>
      <c r="F43" s="37">
        <v>7.4</v>
      </c>
      <c r="G43" s="38">
        <v>7.7</v>
      </c>
      <c r="H43" s="43">
        <v>7.6</v>
      </c>
      <c r="I43" s="167">
        <v>78.8</v>
      </c>
      <c r="J43" s="37">
        <v>16</v>
      </c>
      <c r="K43" s="38">
        <v>80</v>
      </c>
      <c r="L43" s="117">
        <v>48</v>
      </c>
      <c r="M43" s="61">
        <v>1</v>
      </c>
      <c r="N43" s="61">
        <v>3</v>
      </c>
      <c r="O43" s="61">
        <v>2</v>
      </c>
      <c r="P43" s="109">
        <f>AVERAGE(C43,D43,E43,F43,I43,J43)</f>
        <v>38.800000000000004</v>
      </c>
      <c r="Q43" s="109">
        <f>AVERAGE(L43,I43,H43,E43,D43,C43)</f>
        <v>44.166666666666664</v>
      </c>
      <c r="R43" s="61">
        <v>24.1</v>
      </c>
      <c r="S43" s="61">
        <v>53.8</v>
      </c>
      <c r="T43" s="61">
        <v>49.9</v>
      </c>
      <c r="U43" s="61">
        <v>69.099999999999994</v>
      </c>
      <c r="V43" s="61">
        <f t="shared" si="7"/>
        <v>42.6</v>
      </c>
      <c r="W43" s="97">
        <v>92.6</v>
      </c>
      <c r="X43" s="95">
        <v>87.7</v>
      </c>
      <c r="Y43" s="99">
        <f t="shared" si="8"/>
        <v>90.15</v>
      </c>
      <c r="Z43" s="143">
        <f t="shared" si="5"/>
        <v>58.972222222222229</v>
      </c>
      <c r="AA43" s="144">
        <f t="shared" si="6"/>
        <v>51.910000000000004</v>
      </c>
    </row>
    <row r="44" spans="1:27" ht="14" x14ac:dyDescent="0.2">
      <c r="A44" s="89" t="s">
        <v>361</v>
      </c>
      <c r="B44" s="193" t="s">
        <v>358</v>
      </c>
      <c r="C44" s="130">
        <v>36.799999999999997</v>
      </c>
      <c r="D44" s="130">
        <v>16</v>
      </c>
      <c r="E44" s="130">
        <v>57.1</v>
      </c>
      <c r="F44" s="90">
        <v>6.2</v>
      </c>
      <c r="G44" s="163">
        <v>6.2</v>
      </c>
      <c r="H44" s="215">
        <v>6.2</v>
      </c>
      <c r="I44" s="169">
        <v>71.8</v>
      </c>
      <c r="J44" s="90">
        <v>16</v>
      </c>
      <c r="K44" s="91">
        <v>88</v>
      </c>
      <c r="L44" s="118">
        <v>52</v>
      </c>
      <c r="M44" s="148"/>
      <c r="N44" s="204"/>
      <c r="O44" s="145"/>
      <c r="P44" s="127">
        <f t="shared" si="24"/>
        <v>33.983333333333334</v>
      </c>
      <c r="Q44" s="202">
        <f t="shared" si="25"/>
        <v>39.983333333333327</v>
      </c>
      <c r="R44" s="145">
        <v>23.3</v>
      </c>
      <c r="S44" s="204">
        <v>53</v>
      </c>
      <c r="T44" s="204">
        <v>47.2</v>
      </c>
      <c r="U44" s="204">
        <v>68.5</v>
      </c>
      <c r="V44" s="61">
        <f t="shared" si="7"/>
        <v>41.166666666666664</v>
      </c>
      <c r="W44" s="203">
        <v>91</v>
      </c>
      <c r="X44" s="204">
        <v>85.9</v>
      </c>
      <c r="Y44" s="205">
        <f t="shared" ref="Y44" si="37">AVERAGE(W44,X44)</f>
        <v>88.45</v>
      </c>
      <c r="Z44" s="143">
        <f t="shared" si="5"/>
        <v>56.533333333333331</v>
      </c>
      <c r="AA44" s="144">
        <f t="shared" si="6"/>
        <v>48.73</v>
      </c>
    </row>
    <row r="45" spans="1:27" ht="14" x14ac:dyDescent="0.2">
      <c r="A45" s="47" t="s">
        <v>407</v>
      </c>
      <c r="B45" s="225" t="s">
        <v>21</v>
      </c>
      <c r="C45" s="226">
        <v>62.5</v>
      </c>
      <c r="D45" s="226">
        <v>46.4</v>
      </c>
      <c r="E45" s="226">
        <v>63.4</v>
      </c>
      <c r="F45" s="227">
        <v>39.799999999999997</v>
      </c>
      <c r="G45" s="228">
        <v>42.9</v>
      </c>
      <c r="H45" s="243">
        <v>41.6</v>
      </c>
      <c r="I45" s="230">
        <v>83.7</v>
      </c>
      <c r="J45" s="231">
        <v>8</v>
      </c>
      <c r="K45" s="232">
        <v>91</v>
      </c>
      <c r="L45" s="233">
        <v>49.5</v>
      </c>
      <c r="M45" s="234"/>
      <c r="N45" s="141"/>
      <c r="O45" s="234"/>
      <c r="P45" s="225">
        <f>AVERAGE(C45,D45,E45,F45,I45,J45)</f>
        <v>50.633333333333333</v>
      </c>
      <c r="Q45" s="139">
        <f>AVERAGE(L45,I45,H45,E45,D45,C45)</f>
        <v>57.849999999999994</v>
      </c>
      <c r="R45" s="234">
        <v>7</v>
      </c>
      <c r="S45" s="141">
        <v>42.4</v>
      </c>
      <c r="T45" s="141">
        <v>16.2</v>
      </c>
      <c r="U45" s="141">
        <v>46.8</v>
      </c>
      <c r="V45" s="61">
        <f t="shared" si="7"/>
        <v>21.866666666666664</v>
      </c>
      <c r="W45" s="140">
        <v>53.8</v>
      </c>
      <c r="X45" s="141">
        <v>52.2</v>
      </c>
      <c r="Y45" s="142">
        <f>AVERAGE(W45,X45)</f>
        <v>53</v>
      </c>
      <c r="Z45" s="143">
        <f t="shared" si="5"/>
        <v>44.23888888888888</v>
      </c>
      <c r="AA45" s="144">
        <f t="shared" si="6"/>
        <v>47.45</v>
      </c>
    </row>
    <row r="46" spans="1:27" ht="15" thickBot="1" x14ac:dyDescent="0.25">
      <c r="A46" s="244" t="s">
        <v>362</v>
      </c>
      <c r="B46" s="190" t="s">
        <v>358</v>
      </c>
      <c r="C46" s="132">
        <v>59.7</v>
      </c>
      <c r="D46" s="132">
        <v>12</v>
      </c>
      <c r="E46" s="132">
        <v>42.1</v>
      </c>
      <c r="F46" s="236">
        <v>7.8</v>
      </c>
      <c r="G46" s="237">
        <v>8</v>
      </c>
      <c r="H46" s="238">
        <v>7.9</v>
      </c>
      <c r="I46" s="239">
        <v>73.599999999999994</v>
      </c>
      <c r="J46" s="236">
        <v>18</v>
      </c>
      <c r="K46" s="237">
        <v>64</v>
      </c>
      <c r="L46" s="240">
        <v>41</v>
      </c>
      <c r="M46" s="191">
        <v>3.8</v>
      </c>
      <c r="N46" s="191">
        <v>14.3</v>
      </c>
      <c r="O46" s="191">
        <v>9</v>
      </c>
      <c r="P46" s="132">
        <f t="shared" ref="P46" si="38">AVERAGE(C46,D46,E46,F46,I46,J46)</f>
        <v>35.533333333333331</v>
      </c>
      <c r="Q46" s="198">
        <f t="shared" ref="Q46" si="39">AVERAGE(L46,I46,H46,E46,D46,C46)</f>
        <v>39.383333333333333</v>
      </c>
      <c r="R46" s="241">
        <v>16.100000000000001</v>
      </c>
      <c r="S46" s="191">
        <v>47.9</v>
      </c>
      <c r="T46" s="191">
        <v>29.1</v>
      </c>
      <c r="U46" s="191">
        <v>58.3</v>
      </c>
      <c r="V46" s="191">
        <f t="shared" ref="V46" si="40">AVERAGE(R46:T46)</f>
        <v>31.033333333333331</v>
      </c>
      <c r="W46" s="199">
        <v>86.2</v>
      </c>
      <c r="X46" s="200">
        <v>82.7</v>
      </c>
      <c r="Y46" s="201">
        <f t="shared" ref="Y46" si="41">AVERAGE(W46,X46)</f>
        <v>84.45</v>
      </c>
      <c r="Z46" s="253">
        <f t="shared" si="5"/>
        <v>51.622222222222227</v>
      </c>
      <c r="AA46" s="253">
        <f t="shared" si="6"/>
        <v>45.029999999999994</v>
      </c>
    </row>
  </sheetData>
  <mergeCells count="25">
    <mergeCell ref="A2:A4"/>
    <mergeCell ref="B2:B4"/>
    <mergeCell ref="F2:H2"/>
    <mergeCell ref="J2:O2"/>
    <mergeCell ref="P2:P4"/>
    <mergeCell ref="W1:Y1"/>
    <mergeCell ref="Z1:Z4"/>
    <mergeCell ref="AA1:AA4"/>
    <mergeCell ref="W2:W4"/>
    <mergeCell ref="X2:X4"/>
    <mergeCell ref="Y2:Y4"/>
    <mergeCell ref="T3:U3"/>
    <mergeCell ref="V3:V4"/>
    <mergeCell ref="Q2:Q4"/>
    <mergeCell ref="R2:V2"/>
    <mergeCell ref="B1:Q1"/>
    <mergeCell ref="R1:V1"/>
    <mergeCell ref="C3:C4"/>
    <mergeCell ref="D3:D4"/>
    <mergeCell ref="E3:E4"/>
    <mergeCell ref="F3:H3"/>
    <mergeCell ref="I3:I4"/>
    <mergeCell ref="J3:L3"/>
    <mergeCell ref="M3:O3"/>
    <mergeCell ref="R3:S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32849-6AEF-F245-AB3E-2D2AC976274F}">
  <sheetPr>
    <outlinePr summaryBelow="0" summaryRight="0"/>
  </sheetPr>
  <dimension ref="A1:AA39"/>
  <sheetViews>
    <sheetView zoomScale="130" zoomScaleNormal="130" workbookViewId="0">
      <selection activeCell="A34" sqref="A34:XFD35"/>
    </sheetView>
  </sheetViews>
  <sheetFormatPr baseColWidth="10" defaultColWidth="12.6640625" defaultRowHeight="15.75" customHeight="1" x14ac:dyDescent="0.15"/>
  <cols>
    <col min="1" max="1" width="40.1640625" customWidth="1"/>
    <col min="2" max="2" width="12" customWidth="1"/>
    <col min="3" max="3" width="16.5" customWidth="1"/>
    <col min="4" max="4" width="18" customWidth="1"/>
    <col min="5" max="5" width="15.5" customWidth="1"/>
    <col min="6" max="6" width="9.1640625" customWidth="1"/>
    <col min="7" max="7" width="11.1640625" customWidth="1"/>
    <col min="8" max="8" width="9.83203125" customWidth="1"/>
    <col min="9" max="9" width="16" customWidth="1"/>
    <col min="10" max="10" width="10.6640625" style="41" customWidth="1"/>
    <col min="11" max="11" width="9.6640625" style="41" customWidth="1"/>
    <col min="12" max="15" width="8.5" style="41" customWidth="1"/>
    <col min="16" max="16" width="9.6640625" customWidth="1"/>
    <col min="17" max="17" width="10.1640625" customWidth="1"/>
    <col min="18" max="18" width="6.1640625" customWidth="1"/>
    <col min="19" max="19" width="6.5" customWidth="1"/>
    <col min="20" max="20" width="5.83203125" customWidth="1"/>
    <col min="21" max="21" width="6.33203125" customWidth="1"/>
    <col min="22" max="22" width="9.6640625" customWidth="1"/>
    <col min="23" max="23" width="7" customWidth="1"/>
    <col min="24" max="25" width="7.1640625" customWidth="1"/>
    <col min="26" max="26" width="10" customWidth="1"/>
    <col min="27" max="27" width="11.5" customWidth="1"/>
  </cols>
  <sheetData>
    <row r="1" spans="1:27" ht="31" customHeight="1" thickBot="1" x14ac:dyDescent="0.2">
      <c r="B1" s="744" t="s">
        <v>384</v>
      </c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6"/>
      <c r="R1" s="744" t="s">
        <v>378</v>
      </c>
      <c r="S1" s="745"/>
      <c r="T1" s="745"/>
      <c r="U1" s="745"/>
      <c r="V1" s="745"/>
      <c r="W1" s="744" t="s">
        <v>399</v>
      </c>
      <c r="X1" s="689"/>
      <c r="Y1" s="690"/>
      <c r="Z1" s="691" t="s">
        <v>385</v>
      </c>
      <c r="AA1" s="691" t="s">
        <v>393</v>
      </c>
    </row>
    <row r="2" spans="1:27" ht="15" thickBot="1" x14ac:dyDescent="0.25">
      <c r="A2" s="738" t="s">
        <v>0</v>
      </c>
      <c r="B2" s="741" t="s">
        <v>1</v>
      </c>
      <c r="C2" s="103" t="s">
        <v>2</v>
      </c>
      <c r="D2" s="103" t="s">
        <v>3</v>
      </c>
      <c r="E2" s="103" t="s">
        <v>4</v>
      </c>
      <c r="F2" s="731" t="s">
        <v>5</v>
      </c>
      <c r="G2" s="732"/>
      <c r="H2" s="733"/>
      <c r="I2" s="104" t="s">
        <v>367</v>
      </c>
      <c r="J2" s="734" t="s">
        <v>420</v>
      </c>
      <c r="K2" s="735"/>
      <c r="L2" s="735"/>
      <c r="M2" s="736"/>
      <c r="N2" s="736"/>
      <c r="O2" s="737"/>
      <c r="P2" s="715" t="s">
        <v>409</v>
      </c>
      <c r="Q2" s="718" t="s">
        <v>408</v>
      </c>
      <c r="R2" s="721" t="s">
        <v>381</v>
      </c>
      <c r="S2" s="722"/>
      <c r="T2" s="722"/>
      <c r="U2" s="722"/>
      <c r="V2" s="723"/>
      <c r="W2" s="750" t="s">
        <v>400</v>
      </c>
      <c r="X2" s="750" t="s">
        <v>401</v>
      </c>
      <c r="Y2" s="750" t="s">
        <v>402</v>
      </c>
      <c r="Z2" s="729"/>
      <c r="AA2" s="729"/>
    </row>
    <row r="3" spans="1:27" ht="14" customHeight="1" thickBot="1" x14ac:dyDescent="0.2">
      <c r="A3" s="739"/>
      <c r="B3" s="742"/>
      <c r="C3" s="747" t="s">
        <v>9</v>
      </c>
      <c r="D3" s="708" t="s">
        <v>10</v>
      </c>
      <c r="E3" s="708" t="s">
        <v>11</v>
      </c>
      <c r="F3" s="710" t="s">
        <v>12</v>
      </c>
      <c r="G3" s="711"/>
      <c r="H3" s="712"/>
      <c r="I3" s="713" t="s">
        <v>13</v>
      </c>
      <c r="J3" s="698" t="s">
        <v>421</v>
      </c>
      <c r="K3" s="699"/>
      <c r="L3" s="699"/>
      <c r="M3" s="698" t="s">
        <v>422</v>
      </c>
      <c r="N3" s="699"/>
      <c r="O3" s="700"/>
      <c r="P3" s="716"/>
      <c r="Q3" s="719"/>
      <c r="R3" s="703" t="s">
        <v>380</v>
      </c>
      <c r="S3" s="700"/>
      <c r="T3" s="703" t="s">
        <v>379</v>
      </c>
      <c r="U3" s="700"/>
      <c r="V3" s="704" t="s">
        <v>382</v>
      </c>
      <c r="W3" s="751"/>
      <c r="X3" s="751"/>
      <c r="Y3" s="751"/>
      <c r="Z3" s="729"/>
      <c r="AA3" s="729"/>
    </row>
    <row r="4" spans="1:27" ht="14" thickBot="1" x14ac:dyDescent="0.2">
      <c r="A4" s="740"/>
      <c r="B4" s="743"/>
      <c r="C4" s="709"/>
      <c r="D4" s="709"/>
      <c r="E4" s="709"/>
      <c r="F4" s="86" t="s">
        <v>368</v>
      </c>
      <c r="G4" s="88" t="s">
        <v>369</v>
      </c>
      <c r="H4" s="88" t="s">
        <v>370</v>
      </c>
      <c r="I4" s="714"/>
      <c r="J4" s="86" t="s">
        <v>345</v>
      </c>
      <c r="K4" s="87" t="s">
        <v>344</v>
      </c>
      <c r="L4" s="88" t="s">
        <v>346</v>
      </c>
      <c r="M4" s="86" t="s">
        <v>345</v>
      </c>
      <c r="N4" s="87" t="s">
        <v>344</v>
      </c>
      <c r="O4" s="88" t="s">
        <v>346</v>
      </c>
      <c r="P4" s="717"/>
      <c r="Q4" s="720"/>
      <c r="R4" s="78" t="s">
        <v>387</v>
      </c>
      <c r="S4" s="79" t="s">
        <v>388</v>
      </c>
      <c r="T4" s="76" t="s">
        <v>387</v>
      </c>
      <c r="U4" s="77" t="s">
        <v>388</v>
      </c>
      <c r="V4" s="705"/>
      <c r="W4" s="751"/>
      <c r="X4" s="751"/>
      <c r="Y4" s="751"/>
      <c r="Z4" s="729"/>
      <c r="AA4" s="729"/>
    </row>
    <row r="5" spans="1:27" ht="14" x14ac:dyDescent="0.2">
      <c r="A5" s="51" t="s">
        <v>397</v>
      </c>
      <c r="B5" s="125" t="s">
        <v>359</v>
      </c>
      <c r="C5" s="126">
        <v>93.8</v>
      </c>
      <c r="D5" s="126">
        <v>89</v>
      </c>
      <c r="E5" s="161">
        <v>74.8</v>
      </c>
      <c r="F5" s="34">
        <v>53.8</v>
      </c>
      <c r="G5" s="35">
        <v>55.9</v>
      </c>
      <c r="H5" s="43">
        <v>55.1</v>
      </c>
      <c r="I5" s="164">
        <v>88.9</v>
      </c>
      <c r="J5" s="123">
        <v>57</v>
      </c>
      <c r="K5" s="35">
        <v>81</v>
      </c>
      <c r="L5" s="63">
        <v>69</v>
      </c>
      <c r="M5" s="60"/>
      <c r="N5" s="60"/>
      <c r="O5" s="60"/>
      <c r="P5" s="119">
        <f t="shared" ref="P5:P6" si="0">AVERAGE(C5,D5,E5,F5,I5,J5)</f>
        <v>76.216666666666683</v>
      </c>
      <c r="Q5" s="121">
        <f>AVERAGE(L5,I5,H5,E5,D5,C5)</f>
        <v>78.433333333333337</v>
      </c>
      <c r="R5" s="60" t="s">
        <v>386</v>
      </c>
      <c r="S5" s="60" t="s">
        <v>386</v>
      </c>
      <c r="T5" s="60" t="s">
        <v>386</v>
      </c>
      <c r="U5" s="60" t="s">
        <v>386</v>
      </c>
      <c r="V5" s="93" t="s">
        <v>386</v>
      </c>
      <c r="W5" s="100"/>
      <c r="X5" s="101"/>
      <c r="Y5" s="102"/>
      <c r="Z5" s="108" t="s">
        <v>349</v>
      </c>
      <c r="AA5" s="105" t="s">
        <v>349</v>
      </c>
    </row>
    <row r="6" spans="1:27" ht="14" x14ac:dyDescent="0.2">
      <c r="A6" s="50" t="s">
        <v>372</v>
      </c>
      <c r="B6" s="66" t="s">
        <v>359</v>
      </c>
      <c r="C6" s="119">
        <v>94.2</v>
      </c>
      <c r="D6" s="119">
        <v>90.6</v>
      </c>
      <c r="E6" s="119">
        <v>74.8</v>
      </c>
      <c r="F6" s="34">
        <v>45.3</v>
      </c>
      <c r="G6" s="35">
        <v>47.2</v>
      </c>
      <c r="H6" s="43">
        <v>46.4</v>
      </c>
      <c r="I6" s="165">
        <v>88.9</v>
      </c>
      <c r="J6" s="34">
        <v>56</v>
      </c>
      <c r="K6" s="35">
        <v>79</v>
      </c>
      <c r="L6" s="64">
        <v>67.5</v>
      </c>
      <c r="M6" s="61"/>
      <c r="N6" s="61"/>
      <c r="O6" s="61"/>
      <c r="P6" s="120">
        <f t="shared" si="0"/>
        <v>74.966666666666683</v>
      </c>
      <c r="Q6" s="122">
        <f t="shared" ref="Q6:Q31" si="1">AVERAGE(L6,I6,H6,E6,D6,C6)</f>
        <v>77.066666666666677</v>
      </c>
      <c r="R6" s="60" t="s">
        <v>386</v>
      </c>
      <c r="S6" s="60" t="s">
        <v>386</v>
      </c>
      <c r="T6" s="60" t="s">
        <v>386</v>
      </c>
      <c r="U6" s="60" t="s">
        <v>386</v>
      </c>
      <c r="V6" s="61" t="s">
        <v>386</v>
      </c>
      <c r="W6" s="97"/>
      <c r="X6" s="95"/>
      <c r="Y6" s="99"/>
      <c r="Z6" s="109" t="s">
        <v>349</v>
      </c>
      <c r="AA6" s="106" t="s">
        <v>349</v>
      </c>
    </row>
    <row r="7" spans="1:27" ht="14" x14ac:dyDescent="0.2">
      <c r="A7" s="49" t="s">
        <v>396</v>
      </c>
      <c r="B7" s="66" t="s">
        <v>359</v>
      </c>
      <c r="C7" s="120">
        <v>90.83</v>
      </c>
      <c r="D7" s="120">
        <v>83.2</v>
      </c>
      <c r="E7" s="120">
        <v>74.349999999999994</v>
      </c>
      <c r="F7" s="34">
        <v>43.1</v>
      </c>
      <c r="G7" s="35"/>
      <c r="H7" s="43">
        <f>F7</f>
        <v>43.1</v>
      </c>
      <c r="I7" s="166">
        <v>90.66</v>
      </c>
      <c r="J7" s="34">
        <v>36</v>
      </c>
      <c r="K7" s="35">
        <v>76</v>
      </c>
      <c r="L7" s="64">
        <v>56</v>
      </c>
      <c r="M7" s="61"/>
      <c r="N7" s="61"/>
      <c r="O7" s="61"/>
      <c r="P7" s="120">
        <f>AVERAGE(C7,D7,E7,F7,I7,J7)</f>
        <v>69.69</v>
      </c>
      <c r="Q7" s="122">
        <f t="shared" si="1"/>
        <v>73.023333333333326</v>
      </c>
      <c r="R7" s="60"/>
      <c r="S7" s="60"/>
      <c r="T7" s="60"/>
      <c r="U7" s="60"/>
      <c r="V7" s="61"/>
      <c r="W7" s="97"/>
      <c r="X7" s="95"/>
      <c r="Y7" s="99" t="e">
        <f t="shared" ref="Y7:Y10" si="2">AVERAGE(W7,X7)</f>
        <v>#DIV/0!</v>
      </c>
      <c r="Z7" s="109"/>
      <c r="AA7" s="106"/>
    </row>
    <row r="8" spans="1:27" ht="14" x14ac:dyDescent="0.2">
      <c r="A8" s="49" t="s">
        <v>374</v>
      </c>
      <c r="B8" s="66" t="s">
        <v>359</v>
      </c>
      <c r="C8" s="120">
        <v>91.5</v>
      </c>
      <c r="D8" s="120">
        <v>83.2</v>
      </c>
      <c r="E8" s="120">
        <v>74.5</v>
      </c>
      <c r="F8" s="34">
        <v>33.9</v>
      </c>
      <c r="G8" s="35">
        <v>35.700000000000003</v>
      </c>
      <c r="H8" s="43">
        <v>34.9</v>
      </c>
      <c r="I8" s="165">
        <v>89</v>
      </c>
      <c r="J8" s="34">
        <v>37</v>
      </c>
      <c r="K8" s="35">
        <v>86</v>
      </c>
      <c r="L8" s="64">
        <v>61.5</v>
      </c>
      <c r="M8" s="61"/>
      <c r="N8" s="61"/>
      <c r="O8" s="61"/>
      <c r="P8" s="120">
        <f t="shared" ref="P8:P31" si="3">AVERAGE(C8,D8,E8,F8,I8,J8)</f>
        <v>68.183333333333323</v>
      </c>
      <c r="Q8" s="122">
        <f t="shared" si="1"/>
        <v>72.433333333333323</v>
      </c>
      <c r="R8" s="61">
        <v>29</v>
      </c>
      <c r="S8" s="61">
        <v>58.9</v>
      </c>
      <c r="T8" s="61">
        <v>56.3</v>
      </c>
      <c r="U8" s="61">
        <v>71.8</v>
      </c>
      <c r="V8" s="61">
        <f>AVERAGE(R8:T8)</f>
        <v>48.066666666666663</v>
      </c>
      <c r="W8" s="97">
        <v>93.9</v>
      </c>
      <c r="X8" s="94">
        <v>90.3</v>
      </c>
      <c r="Y8" s="99">
        <f>AVERAGE(W8,X8)</f>
        <v>92.1</v>
      </c>
      <c r="Z8" s="109">
        <f>AVERAGE(V8,P8,Y8)</f>
        <v>69.449999999999989</v>
      </c>
      <c r="AA8" s="107">
        <f>AVERAGE(C8,D8,E8,F8,I8,J8,R8,T8,W8,X8)</f>
        <v>67.859999999999985</v>
      </c>
    </row>
    <row r="9" spans="1:27" ht="14" x14ac:dyDescent="0.2">
      <c r="A9" s="47" t="s">
        <v>16</v>
      </c>
      <c r="B9" s="66" t="s">
        <v>359</v>
      </c>
      <c r="C9" s="127">
        <v>91.5</v>
      </c>
      <c r="D9" s="127">
        <v>74.400000000000006</v>
      </c>
      <c r="E9" s="127">
        <v>72.400000000000006</v>
      </c>
      <c r="F9" s="37">
        <v>35.700000000000003</v>
      </c>
      <c r="G9" s="38">
        <v>35.700000000000003</v>
      </c>
      <c r="H9" s="43">
        <v>35.700000000000003</v>
      </c>
      <c r="I9" s="167">
        <v>85.9</v>
      </c>
      <c r="J9" s="37">
        <v>49</v>
      </c>
      <c r="K9" s="38">
        <v>86</v>
      </c>
      <c r="L9" s="117">
        <v>67.5</v>
      </c>
      <c r="M9" s="61"/>
      <c r="N9" s="61"/>
      <c r="O9" s="61"/>
      <c r="P9" s="120">
        <f t="shared" si="3"/>
        <v>68.149999999999991</v>
      </c>
      <c r="Q9" s="122">
        <f t="shared" si="1"/>
        <v>71.233333333333334</v>
      </c>
      <c r="R9" s="61">
        <v>28.5</v>
      </c>
      <c r="S9" s="61">
        <v>56.7</v>
      </c>
      <c r="T9" s="61">
        <v>55.9</v>
      </c>
      <c r="U9" s="61">
        <v>71.8</v>
      </c>
      <c r="V9" s="61">
        <f>AVERAGE(R9:T9)</f>
        <v>47.033333333333331</v>
      </c>
      <c r="W9" s="96">
        <v>94.3</v>
      </c>
      <c r="X9" s="94">
        <v>90.3</v>
      </c>
      <c r="Y9" s="98">
        <f>AVERAGE(W9,X9)</f>
        <v>92.3</v>
      </c>
      <c r="Z9" s="109">
        <f t="shared" ref="Z9:Z31" si="4">AVERAGE(V9,P9,Y9)</f>
        <v>69.161111111111111</v>
      </c>
      <c r="AA9" s="106">
        <f t="shared" ref="AA9:AA31" si="5">AVERAGE(C9,D9,E9,F9,I9,J9,R9,T9,W9,X9)</f>
        <v>67.789999999999992</v>
      </c>
    </row>
    <row r="10" spans="1:27" ht="14" x14ac:dyDescent="0.2">
      <c r="A10" s="49" t="s">
        <v>424</v>
      </c>
      <c r="B10" s="66" t="s">
        <v>360</v>
      </c>
      <c r="C10" s="120">
        <v>88.8</v>
      </c>
      <c r="D10" s="120">
        <v>74.8</v>
      </c>
      <c r="E10" s="120">
        <v>74.099999999999994</v>
      </c>
      <c r="F10" s="34">
        <v>33.799999999999997</v>
      </c>
      <c r="G10" s="35">
        <v>36.6</v>
      </c>
      <c r="H10" s="43">
        <v>35.4</v>
      </c>
      <c r="I10" s="165">
        <v>83.5</v>
      </c>
      <c r="J10" s="34">
        <v>36</v>
      </c>
      <c r="K10" s="35">
        <v>77</v>
      </c>
      <c r="L10" s="64">
        <v>74.8</v>
      </c>
      <c r="M10" s="61"/>
      <c r="N10" s="61"/>
      <c r="O10" s="61"/>
      <c r="P10" s="120">
        <f t="shared" si="3"/>
        <v>65.166666666666671</v>
      </c>
      <c r="Q10" s="122">
        <f t="shared" si="1"/>
        <v>71.900000000000006</v>
      </c>
      <c r="R10" s="61">
        <v>34.6</v>
      </c>
      <c r="S10" s="61">
        <v>63.2</v>
      </c>
      <c r="T10" s="61">
        <v>58.9</v>
      </c>
      <c r="U10" s="61">
        <v>73.8</v>
      </c>
      <c r="V10" s="61">
        <f>AVERAGE(R10:T10)</f>
        <v>52.233333333333341</v>
      </c>
      <c r="W10" s="97">
        <v>94.2</v>
      </c>
      <c r="X10" s="95">
        <v>89.4</v>
      </c>
      <c r="Y10" s="99">
        <f t="shared" si="2"/>
        <v>91.800000000000011</v>
      </c>
      <c r="Z10" s="110">
        <f t="shared" si="4"/>
        <v>69.733333333333334</v>
      </c>
      <c r="AA10" s="106">
        <f t="shared" si="5"/>
        <v>66.81</v>
      </c>
    </row>
    <row r="11" spans="1:27" ht="14" x14ac:dyDescent="0.2">
      <c r="A11" s="47" t="s">
        <v>425</v>
      </c>
      <c r="B11" s="128" t="s">
        <v>360</v>
      </c>
      <c r="C11" s="162">
        <v>86.6</v>
      </c>
      <c r="D11" s="162">
        <v>56.4</v>
      </c>
      <c r="E11" s="162">
        <v>70.400000000000006</v>
      </c>
      <c r="F11" s="124">
        <v>22.7</v>
      </c>
      <c r="G11" s="40">
        <v>22.7</v>
      </c>
      <c r="H11" s="43">
        <v>22.7</v>
      </c>
      <c r="I11" s="168">
        <v>83.7</v>
      </c>
      <c r="J11" s="37">
        <v>31</v>
      </c>
      <c r="K11" s="38">
        <v>88</v>
      </c>
      <c r="L11" s="117">
        <v>59.5</v>
      </c>
      <c r="M11" s="61"/>
      <c r="N11" s="61"/>
      <c r="O11" s="61"/>
      <c r="P11" s="120">
        <f t="shared" si="3"/>
        <v>58.466666666666669</v>
      </c>
      <c r="Q11" s="122">
        <f t="shared" si="1"/>
        <v>63.216666666666661</v>
      </c>
      <c r="R11" s="61">
        <v>28.3</v>
      </c>
      <c r="S11" s="61">
        <v>57.2</v>
      </c>
      <c r="T11" s="61">
        <v>56.1</v>
      </c>
      <c r="U11" s="61">
        <v>73.2</v>
      </c>
      <c r="V11" s="61">
        <f>AVERAGE(R11:T11)</f>
        <v>47.199999999999996</v>
      </c>
      <c r="W11" s="97">
        <v>94.1</v>
      </c>
      <c r="X11" s="95">
        <v>89.3</v>
      </c>
      <c r="Y11" s="99">
        <f>AVERAGE(W11,X11)</f>
        <v>91.699999999999989</v>
      </c>
      <c r="Z11" s="109">
        <f t="shared" si="4"/>
        <v>65.788888888888877</v>
      </c>
      <c r="AA11" s="106">
        <f t="shared" si="5"/>
        <v>61.86</v>
      </c>
    </row>
    <row r="12" spans="1:27" ht="14" x14ac:dyDescent="0.2">
      <c r="A12" s="47" t="s">
        <v>403</v>
      </c>
      <c r="B12" s="66" t="s">
        <v>21</v>
      </c>
      <c r="C12" s="127">
        <v>71</v>
      </c>
      <c r="D12" s="127">
        <v>57.4</v>
      </c>
      <c r="E12" s="127">
        <v>62.1</v>
      </c>
      <c r="F12" s="160">
        <v>67.5</v>
      </c>
      <c r="G12" s="39">
        <v>69.2</v>
      </c>
      <c r="H12" s="54">
        <v>68.5</v>
      </c>
      <c r="I12" s="167">
        <v>83.4</v>
      </c>
      <c r="J12" s="37">
        <v>17</v>
      </c>
      <c r="K12" s="38">
        <v>88</v>
      </c>
      <c r="L12" s="117">
        <v>52.5</v>
      </c>
      <c r="M12" s="61"/>
      <c r="N12" s="61"/>
      <c r="O12" s="61"/>
      <c r="P12" s="120">
        <f t="shared" si="3"/>
        <v>59.733333333333327</v>
      </c>
      <c r="Q12" s="122">
        <f t="shared" si="1"/>
        <v>65.816666666666663</v>
      </c>
      <c r="R12" s="61">
        <v>19.3</v>
      </c>
      <c r="S12" s="61">
        <v>52</v>
      </c>
      <c r="T12" s="61">
        <v>47.6</v>
      </c>
      <c r="U12" s="61">
        <v>68.400000000000006</v>
      </c>
      <c r="V12" s="61">
        <f>AVERAGE(R12:T12)</f>
        <v>39.633333333333333</v>
      </c>
      <c r="W12" s="97">
        <v>91</v>
      </c>
      <c r="X12" s="95">
        <v>86.2</v>
      </c>
      <c r="Y12" s="99">
        <f>AVERAGE(W12,X12)</f>
        <v>88.6</v>
      </c>
      <c r="Z12" s="109">
        <f t="shared" si="4"/>
        <v>62.655555555555544</v>
      </c>
      <c r="AA12" s="106">
        <f t="shared" si="5"/>
        <v>60.25</v>
      </c>
    </row>
    <row r="13" spans="1:27" ht="14" x14ac:dyDescent="0.2">
      <c r="A13" s="47" t="s">
        <v>19</v>
      </c>
      <c r="B13" s="128" t="s">
        <v>359</v>
      </c>
      <c r="C13" s="127">
        <v>79</v>
      </c>
      <c r="D13" s="127">
        <v>51.6</v>
      </c>
      <c r="E13" s="127">
        <v>65.05</v>
      </c>
      <c r="F13" s="37">
        <v>13.4445</v>
      </c>
      <c r="G13" s="38"/>
      <c r="H13" s="43">
        <f t="shared" ref="H13" si="6">F13</f>
        <v>13.4445</v>
      </c>
      <c r="I13" s="167">
        <v>78.498999999999995</v>
      </c>
      <c r="J13" s="37">
        <v>30</v>
      </c>
      <c r="K13" s="38">
        <v>87</v>
      </c>
      <c r="L13" s="117">
        <v>58.5</v>
      </c>
      <c r="M13" s="61"/>
      <c r="N13" s="61"/>
      <c r="O13" s="61"/>
      <c r="P13" s="120">
        <f t="shared" si="3"/>
        <v>52.932249999999989</v>
      </c>
      <c r="Q13" s="122">
        <f t="shared" si="1"/>
        <v>57.682250000000003</v>
      </c>
      <c r="R13" s="61">
        <v>30.3</v>
      </c>
      <c r="S13" s="61">
        <v>60.2</v>
      </c>
      <c r="T13" s="61">
        <v>48</v>
      </c>
      <c r="U13" s="61">
        <v>67.099999999999994</v>
      </c>
      <c r="V13" s="61">
        <f t="shared" ref="V13" si="7">AVERAGE(R13:T13)</f>
        <v>46.166666666666664</v>
      </c>
      <c r="W13" s="97">
        <v>93.5</v>
      </c>
      <c r="X13" s="95">
        <v>88.6</v>
      </c>
      <c r="Y13" s="99">
        <f>AVERAGE(W13,X13)</f>
        <v>91.05</v>
      </c>
      <c r="Z13" s="109">
        <f t="shared" si="4"/>
        <v>63.382972222222214</v>
      </c>
      <c r="AA13" s="106">
        <f t="shared" si="5"/>
        <v>57.79934999999999</v>
      </c>
    </row>
    <row r="14" spans="1:27" ht="14" x14ac:dyDescent="0.2">
      <c r="A14" s="172" t="s">
        <v>423</v>
      </c>
      <c r="B14" s="66" t="s">
        <v>360</v>
      </c>
      <c r="C14" s="127"/>
      <c r="D14" s="127"/>
      <c r="E14" s="127"/>
      <c r="F14" s="37"/>
      <c r="G14" s="38"/>
      <c r="H14" s="43"/>
      <c r="I14" s="167"/>
      <c r="J14" s="37"/>
      <c r="K14" s="38"/>
      <c r="L14" s="117"/>
      <c r="M14" s="61"/>
      <c r="N14" s="61"/>
      <c r="O14" s="61"/>
      <c r="P14" s="120"/>
      <c r="Q14" s="122"/>
      <c r="R14" s="61"/>
      <c r="S14" s="61"/>
      <c r="T14" s="61"/>
      <c r="U14" s="61"/>
      <c r="V14" s="61"/>
      <c r="W14" s="97"/>
      <c r="X14" s="95"/>
      <c r="Y14" s="99"/>
      <c r="Z14" s="109"/>
      <c r="AA14" s="106"/>
    </row>
    <row r="15" spans="1:27" ht="14" x14ac:dyDescent="0.2">
      <c r="A15" s="47" t="s">
        <v>419</v>
      </c>
      <c r="B15" s="66" t="s">
        <v>21</v>
      </c>
      <c r="C15" s="127">
        <v>70.099999999999994</v>
      </c>
      <c r="D15" s="127">
        <v>57</v>
      </c>
      <c r="E15" s="127">
        <v>69</v>
      </c>
      <c r="F15" s="37">
        <v>61.9</v>
      </c>
      <c r="G15" s="38">
        <v>64.400000000000006</v>
      </c>
      <c r="H15" s="43">
        <v>63.3</v>
      </c>
      <c r="I15" s="167">
        <v>84.6</v>
      </c>
      <c r="J15" s="37">
        <v>11</v>
      </c>
      <c r="K15" s="38">
        <v>60</v>
      </c>
      <c r="L15" s="117">
        <v>35.5</v>
      </c>
      <c r="M15" s="37">
        <v>14.3</v>
      </c>
      <c r="N15" s="38">
        <v>63.2</v>
      </c>
      <c r="O15" s="117">
        <v>38.700000000000003</v>
      </c>
      <c r="P15" s="120">
        <f t="shared" si="3"/>
        <v>58.933333333333337</v>
      </c>
      <c r="Q15" s="122">
        <f t="shared" si="1"/>
        <v>63.25</v>
      </c>
      <c r="R15" s="61">
        <v>10.3</v>
      </c>
      <c r="S15" s="61">
        <v>45.1</v>
      </c>
      <c r="T15" s="61">
        <v>32.4</v>
      </c>
      <c r="U15" s="61">
        <v>59.4</v>
      </c>
      <c r="V15" s="61">
        <f>AVERAGE(R15:U15)</f>
        <v>36.800000000000004</v>
      </c>
      <c r="W15" s="97">
        <v>90.7</v>
      </c>
      <c r="X15" s="95">
        <v>85.7</v>
      </c>
      <c r="Y15" s="99">
        <f>AVERAGE(W15,X15)</f>
        <v>88.2</v>
      </c>
      <c r="Z15" s="109">
        <f t="shared" si="4"/>
        <v>61.31111111111111</v>
      </c>
      <c r="AA15" s="106">
        <f t="shared" si="5"/>
        <v>57.27</v>
      </c>
    </row>
    <row r="16" spans="1:27" ht="14" x14ac:dyDescent="0.2">
      <c r="A16" s="47" t="s">
        <v>412</v>
      </c>
      <c r="B16" s="66" t="s">
        <v>21</v>
      </c>
      <c r="C16" s="162">
        <v>63.1</v>
      </c>
      <c r="D16" s="162">
        <v>56</v>
      </c>
      <c r="E16" s="162">
        <v>65.2</v>
      </c>
      <c r="F16" s="124">
        <v>64.7</v>
      </c>
      <c r="G16" s="40">
        <v>66.599999999999994</v>
      </c>
      <c r="H16" s="43">
        <v>65.8</v>
      </c>
      <c r="I16" s="168">
        <v>77.3</v>
      </c>
      <c r="J16" s="37">
        <v>9</v>
      </c>
      <c r="K16" s="38">
        <v>63</v>
      </c>
      <c r="L16" s="117">
        <v>36</v>
      </c>
      <c r="M16" s="61"/>
      <c r="N16" s="61"/>
      <c r="O16" s="61"/>
      <c r="P16" s="120">
        <f>AVERAGE(C16,D16,E16,F16,I16,J16)</f>
        <v>55.883333333333333</v>
      </c>
      <c r="Q16" s="122">
        <f>AVERAGE(L16,I16,H16,E16,D16,C16)</f>
        <v>60.56666666666667</v>
      </c>
      <c r="R16" s="61">
        <v>9.4</v>
      </c>
      <c r="S16" s="61">
        <v>45</v>
      </c>
      <c r="T16" s="61">
        <v>43.9</v>
      </c>
      <c r="U16" s="61">
        <v>64.3</v>
      </c>
      <c r="V16" s="61">
        <f>AVERAGE(R16:U16)</f>
        <v>40.65</v>
      </c>
      <c r="W16" s="97">
        <v>90.3</v>
      </c>
      <c r="X16" s="95">
        <v>85.4</v>
      </c>
      <c r="Y16" s="99">
        <f>AVERAGE(W16,X16)</f>
        <v>87.85</v>
      </c>
      <c r="Z16" s="109">
        <f>AVERAGE(V16,P16,Y16)</f>
        <v>61.461111111111109</v>
      </c>
      <c r="AA16" s="106">
        <f>AVERAGE(C16,D16,E16,F16,I16,J16,R16,T16,W16,X16)</f>
        <v>56.429999999999993</v>
      </c>
    </row>
    <row r="17" spans="1:27" ht="14" x14ac:dyDescent="0.2">
      <c r="A17" s="47" t="s">
        <v>398</v>
      </c>
      <c r="B17" s="66" t="s">
        <v>358</v>
      </c>
      <c r="C17" s="127">
        <v>24.7</v>
      </c>
      <c r="D17" s="127">
        <v>48.8</v>
      </c>
      <c r="E17" s="127">
        <v>64.599999999999994</v>
      </c>
      <c r="F17" s="37">
        <v>22.7</v>
      </c>
      <c r="G17" s="38">
        <v>24</v>
      </c>
      <c r="H17" s="43">
        <v>23.5</v>
      </c>
      <c r="I17" s="167">
        <v>88.7</v>
      </c>
      <c r="J17" s="37">
        <v>31</v>
      </c>
      <c r="K17" s="38">
        <v>74</v>
      </c>
      <c r="L17" s="117">
        <v>52.5</v>
      </c>
      <c r="M17" s="61"/>
      <c r="N17" s="61"/>
      <c r="O17" s="61"/>
      <c r="P17" s="120">
        <f t="shared" si="3"/>
        <v>46.75</v>
      </c>
      <c r="Q17" s="122">
        <f t="shared" si="1"/>
        <v>50.466666666666661</v>
      </c>
      <c r="R17" s="61">
        <v>29.3</v>
      </c>
      <c r="S17" s="61">
        <v>56.7</v>
      </c>
      <c r="T17" s="61">
        <v>57.1</v>
      </c>
      <c r="U17" s="61">
        <v>72.7</v>
      </c>
      <c r="V17" s="61">
        <f>AVERAGE(R17:T17)</f>
        <v>47.699999999999996</v>
      </c>
      <c r="W17" s="97">
        <v>93.8</v>
      </c>
      <c r="X17" s="95">
        <v>88.9</v>
      </c>
      <c r="Y17" s="99">
        <f>AVERAGE(W17,X17)</f>
        <v>91.35</v>
      </c>
      <c r="Z17" s="109">
        <f t="shared" si="4"/>
        <v>61.93333333333333</v>
      </c>
      <c r="AA17" s="106">
        <f t="shared" si="5"/>
        <v>54.96</v>
      </c>
    </row>
    <row r="18" spans="1:27" ht="15.75" customHeight="1" x14ac:dyDescent="0.15">
      <c r="A18" s="189" t="s">
        <v>432</v>
      </c>
      <c r="B18" s="134" t="s">
        <v>21</v>
      </c>
      <c r="C18" s="176"/>
      <c r="D18" s="176"/>
      <c r="E18" s="176"/>
      <c r="F18" s="177"/>
      <c r="G18" s="181"/>
      <c r="H18" s="178"/>
      <c r="I18" s="176"/>
      <c r="J18" s="179"/>
      <c r="K18" s="182"/>
      <c r="L18" s="180"/>
      <c r="M18" s="179"/>
      <c r="N18" s="182"/>
      <c r="O18" s="180"/>
      <c r="P18" s="176"/>
      <c r="Q18" s="176"/>
      <c r="R18" s="177"/>
      <c r="S18" s="181"/>
      <c r="T18" s="181"/>
      <c r="U18" s="181"/>
      <c r="V18" s="178"/>
      <c r="W18" s="177"/>
      <c r="X18" s="181"/>
      <c r="Y18" s="178"/>
      <c r="Z18" s="176"/>
      <c r="AA18" s="176"/>
    </row>
    <row r="19" spans="1:27" ht="13" customHeight="1" x14ac:dyDescent="0.2">
      <c r="A19" s="47" t="s">
        <v>389</v>
      </c>
      <c r="B19" s="128" t="s">
        <v>21</v>
      </c>
      <c r="C19" s="127">
        <v>57.3</v>
      </c>
      <c r="D19" s="127">
        <v>52.6</v>
      </c>
      <c r="E19" s="127">
        <v>58.9</v>
      </c>
      <c r="F19" s="37">
        <v>67.099999999999994</v>
      </c>
      <c r="G19" s="38">
        <v>68.900000000000006</v>
      </c>
      <c r="H19" s="43">
        <v>68.099999999999994</v>
      </c>
      <c r="I19" s="167">
        <v>80.099999999999994</v>
      </c>
      <c r="J19" s="37">
        <v>13</v>
      </c>
      <c r="K19" s="38">
        <v>73</v>
      </c>
      <c r="L19" s="117">
        <v>43</v>
      </c>
      <c r="M19" s="61"/>
      <c r="N19" s="61"/>
      <c r="O19" s="61"/>
      <c r="P19" s="120">
        <f t="shared" si="3"/>
        <v>54.833333333333336</v>
      </c>
      <c r="Q19" s="122">
        <f t="shared" si="1"/>
        <v>60</v>
      </c>
      <c r="R19" s="61">
        <v>16.100000000000001</v>
      </c>
      <c r="S19" s="61">
        <v>48.6</v>
      </c>
      <c r="T19" s="61">
        <v>35.4</v>
      </c>
      <c r="U19" s="61">
        <v>61.5</v>
      </c>
      <c r="V19" s="61">
        <f>AVERAGE(R19:T19)</f>
        <v>33.366666666666667</v>
      </c>
      <c r="W19" s="97">
        <v>86.8</v>
      </c>
      <c r="X19" s="95">
        <v>82.8</v>
      </c>
      <c r="Y19" s="99">
        <f t="shared" ref="Y19:Y31" si="8">AVERAGE(W19,X19)</f>
        <v>84.8</v>
      </c>
      <c r="Z19" s="109">
        <f t="shared" si="4"/>
        <v>57.666666666666664</v>
      </c>
      <c r="AA19" s="106">
        <f t="shared" si="5"/>
        <v>55.010000000000005</v>
      </c>
    </row>
    <row r="20" spans="1:27" ht="15.75" customHeight="1" x14ac:dyDescent="0.2">
      <c r="A20" s="175" t="s">
        <v>431</v>
      </c>
      <c r="B20" s="134" t="s">
        <v>21</v>
      </c>
      <c r="C20" s="183">
        <v>71.3</v>
      </c>
      <c r="D20" s="183">
        <v>57.6</v>
      </c>
      <c r="E20" s="183">
        <v>67.7</v>
      </c>
      <c r="F20" s="184">
        <v>51.2</v>
      </c>
      <c r="G20" s="185">
        <v>55.4</v>
      </c>
      <c r="H20" s="186">
        <v>53.7</v>
      </c>
      <c r="I20" s="183">
        <v>82.5</v>
      </c>
      <c r="J20" s="187">
        <v>13</v>
      </c>
      <c r="K20" s="188">
        <v>84</v>
      </c>
      <c r="L20" s="115">
        <v>48.5</v>
      </c>
      <c r="M20" s="187">
        <v>7.5</v>
      </c>
      <c r="N20" s="188">
        <v>33.1</v>
      </c>
      <c r="O20" s="115">
        <v>20.3</v>
      </c>
      <c r="P20" s="69">
        <f>AVERAGE(C20,D20,E20,F20,I20,J20)</f>
        <v>57.216666666666669</v>
      </c>
      <c r="Q20" s="69">
        <f>AVERAGE(L20,I20,H20,E20,D20,C20)</f>
        <v>63.550000000000004</v>
      </c>
      <c r="R20" s="184">
        <v>6.8</v>
      </c>
      <c r="S20" s="185">
        <v>39.5</v>
      </c>
      <c r="T20" s="185">
        <v>21.2</v>
      </c>
      <c r="U20" s="185">
        <v>51.2</v>
      </c>
      <c r="V20" s="61">
        <f>AVERAGE(R20:T20)</f>
        <v>22.5</v>
      </c>
      <c r="W20" s="187">
        <v>89.2</v>
      </c>
      <c r="X20" s="188">
        <v>84.7</v>
      </c>
      <c r="Y20" s="115">
        <f t="shared" ref="Y20:Y27" si="9">AVERAGE(W20,X20)</f>
        <v>86.95</v>
      </c>
      <c r="Z20" s="109">
        <f t="shared" ref="Z20" si="10">AVERAGE(V20,P20,Y20)</f>
        <v>55.555555555555564</v>
      </c>
      <c r="AA20" s="106">
        <f t="shared" ref="AA20" si="11">AVERAGE(C20,D20,E20,F20,I20,J20,R20,T20,W20,X20)</f>
        <v>54.52</v>
      </c>
    </row>
    <row r="21" spans="1:27" ht="14" x14ac:dyDescent="0.2">
      <c r="A21" s="47" t="s">
        <v>426</v>
      </c>
      <c r="B21" s="66" t="s">
        <v>21</v>
      </c>
      <c r="C21" s="127">
        <v>70</v>
      </c>
      <c r="D21" s="127">
        <v>49.6</v>
      </c>
      <c r="E21" s="127">
        <v>65.900000000000006</v>
      </c>
      <c r="F21" s="37">
        <v>43.6</v>
      </c>
      <c r="G21" s="38">
        <v>46.7</v>
      </c>
      <c r="H21" s="43">
        <v>45.4</v>
      </c>
      <c r="I21" s="167">
        <v>85.5</v>
      </c>
      <c r="J21" s="37">
        <v>7</v>
      </c>
      <c r="K21" s="38">
        <v>80</v>
      </c>
      <c r="L21" s="117">
        <v>43.5</v>
      </c>
      <c r="M21" s="61">
        <v>18.100000000000001</v>
      </c>
      <c r="N21" s="61">
        <v>31.6</v>
      </c>
      <c r="O21" s="61">
        <v>24.8</v>
      </c>
      <c r="P21" s="120">
        <f t="shared" ref="P21" si="12">AVERAGE(C21,D21,E21,F21,I21,J21)</f>
        <v>53.6</v>
      </c>
      <c r="Q21" s="122">
        <f t="shared" ref="Q21" si="13">AVERAGE(L21,I21,H21,E21,D21,C21)</f>
        <v>59.983333333333341</v>
      </c>
      <c r="R21" s="61">
        <v>11.5</v>
      </c>
      <c r="S21" s="61">
        <v>44.7</v>
      </c>
      <c r="T21" s="61">
        <v>38.6</v>
      </c>
      <c r="U21" s="61">
        <v>63.9</v>
      </c>
      <c r="V21" s="61">
        <f>AVERAGE(R21:U21)</f>
        <v>39.675000000000004</v>
      </c>
      <c r="W21" s="97">
        <v>88.8</v>
      </c>
      <c r="X21" s="95">
        <v>84.3</v>
      </c>
      <c r="Y21" s="99">
        <f t="shared" si="9"/>
        <v>86.55</v>
      </c>
      <c r="Z21" s="109">
        <f t="shared" ref="Z21" si="14">AVERAGE(V21,P21,Y21)</f>
        <v>59.941666666666663</v>
      </c>
      <c r="AA21" s="106">
        <f t="shared" ref="AA21" si="15">AVERAGE(C21,D21,E21,F21,I21,J21,R21,T21,W21,X21)</f>
        <v>54.480000000000004</v>
      </c>
    </row>
    <row r="22" spans="1:27" ht="14" x14ac:dyDescent="0.2">
      <c r="A22" s="47" t="s">
        <v>418</v>
      </c>
      <c r="B22" s="66" t="s">
        <v>21</v>
      </c>
      <c r="C22" s="162">
        <v>63.4</v>
      </c>
      <c r="D22" s="162">
        <v>42.4</v>
      </c>
      <c r="E22" s="162">
        <v>62.4</v>
      </c>
      <c r="F22" s="124">
        <v>46</v>
      </c>
      <c r="G22" s="40">
        <v>49.4</v>
      </c>
      <c r="H22" s="43">
        <v>48</v>
      </c>
      <c r="I22" s="168">
        <v>70.900000000000006</v>
      </c>
      <c r="J22" s="37">
        <v>16</v>
      </c>
      <c r="K22" s="38">
        <v>83</v>
      </c>
      <c r="L22" s="117">
        <v>49.5</v>
      </c>
      <c r="M22" s="61"/>
      <c r="N22" s="61"/>
      <c r="O22" s="61"/>
      <c r="P22" s="120">
        <f>AVERAGE(C22,D22,E22,F22,I22,J22)</f>
        <v>50.183333333333337</v>
      </c>
      <c r="Q22" s="122">
        <f>AVERAGE(L22,I22,H22,E22,D22,C22)</f>
        <v>56.099999999999994</v>
      </c>
      <c r="R22" s="61">
        <v>20.9</v>
      </c>
      <c r="S22" s="61">
        <v>50.4</v>
      </c>
      <c r="T22" s="61">
        <v>46.4</v>
      </c>
      <c r="U22" s="61">
        <v>67.2</v>
      </c>
      <c r="V22" s="61">
        <f>AVERAGE(R22:U22)</f>
        <v>46.224999999999994</v>
      </c>
      <c r="W22" s="97">
        <v>89.5</v>
      </c>
      <c r="X22" s="95">
        <v>85</v>
      </c>
      <c r="Y22" s="99">
        <f t="shared" si="9"/>
        <v>87.25</v>
      </c>
      <c r="Z22" s="109">
        <f>AVERAGE(V22,P22,Y22)</f>
        <v>61.219444444444441</v>
      </c>
      <c r="AA22" s="106">
        <f>AVERAGE(C22,D22,E22,F22,I22,J22,R22,T22,W22,X22)</f>
        <v>54.29</v>
      </c>
    </row>
    <row r="23" spans="1:27" ht="14" x14ac:dyDescent="0.2">
      <c r="A23" s="47" t="s">
        <v>416</v>
      </c>
      <c r="B23" s="66" t="s">
        <v>21</v>
      </c>
      <c r="C23" s="162">
        <v>53.4</v>
      </c>
      <c r="D23" s="162">
        <v>46.2</v>
      </c>
      <c r="E23" s="162">
        <v>63.2</v>
      </c>
      <c r="F23" s="124">
        <v>48.7</v>
      </c>
      <c r="G23" s="40">
        <v>52.2</v>
      </c>
      <c r="H23" s="43">
        <v>50.7</v>
      </c>
      <c r="I23" s="168">
        <v>86.7</v>
      </c>
      <c r="J23" s="37">
        <v>10</v>
      </c>
      <c r="K23" s="38">
        <v>91</v>
      </c>
      <c r="L23" s="117">
        <v>50.5</v>
      </c>
      <c r="M23" s="61"/>
      <c r="N23" s="61"/>
      <c r="O23" s="61"/>
      <c r="P23" s="120">
        <f>AVERAGE(C23,D23,E23,F23,I23,J23)</f>
        <v>51.366666666666667</v>
      </c>
      <c r="Q23" s="122">
        <f>AVERAGE(L23,I23,H23,E23,D23,C23)</f>
        <v>58.449999999999989</v>
      </c>
      <c r="R23" s="61">
        <v>21</v>
      </c>
      <c r="S23" s="61">
        <v>51.1</v>
      </c>
      <c r="T23" s="61">
        <v>39</v>
      </c>
      <c r="U23" s="61">
        <v>63.8</v>
      </c>
      <c r="V23" s="61">
        <f>AVERAGE(R23:U23)</f>
        <v>43.724999999999994</v>
      </c>
      <c r="W23" s="97">
        <v>88.6</v>
      </c>
      <c r="X23" s="95">
        <v>84.4</v>
      </c>
      <c r="Y23" s="99">
        <f t="shared" si="9"/>
        <v>86.5</v>
      </c>
      <c r="Z23" s="109">
        <f>AVERAGE(V23,P23,Y23)</f>
        <v>60.530555555555559</v>
      </c>
      <c r="AA23" s="106">
        <f>AVERAGE(C23,D23,E23,F23,I23,J23,R23,T23,W23,X23)</f>
        <v>54.11999999999999</v>
      </c>
    </row>
    <row r="24" spans="1:27" ht="14" x14ac:dyDescent="0.2">
      <c r="A24" s="47" t="s">
        <v>410</v>
      </c>
      <c r="B24" s="66" t="s">
        <v>21</v>
      </c>
      <c r="C24" s="162">
        <v>77.599999999999994</v>
      </c>
      <c r="D24" s="162">
        <v>47.6</v>
      </c>
      <c r="E24" s="162">
        <v>64.5</v>
      </c>
      <c r="F24" s="124">
        <v>36</v>
      </c>
      <c r="G24" s="40">
        <v>39.9</v>
      </c>
      <c r="H24" s="43">
        <v>38.299999999999997</v>
      </c>
      <c r="I24" s="168">
        <v>79.3</v>
      </c>
      <c r="J24" s="37">
        <v>6</v>
      </c>
      <c r="K24" s="38">
        <v>92</v>
      </c>
      <c r="L24" s="117">
        <v>49</v>
      </c>
      <c r="M24" s="61"/>
      <c r="N24" s="61"/>
      <c r="O24" s="61"/>
      <c r="P24" s="120">
        <f>AVERAGE(C24,D24,E24,F24,I24,J24)</f>
        <v>51.833333333333336</v>
      </c>
      <c r="Q24" s="122">
        <f>AVERAGE(L24,I24,H24,E24,D24,C24)</f>
        <v>59.383333333333347</v>
      </c>
      <c r="R24" s="61">
        <v>8</v>
      </c>
      <c r="S24" s="61">
        <v>43.6</v>
      </c>
      <c r="T24" s="61">
        <v>43.6</v>
      </c>
      <c r="U24" s="61">
        <v>66.3</v>
      </c>
      <c r="V24" s="61">
        <f>AVERAGE(R24:U24)</f>
        <v>40.375</v>
      </c>
      <c r="W24" s="97">
        <v>90.7</v>
      </c>
      <c r="X24" s="95">
        <v>85.6</v>
      </c>
      <c r="Y24" s="99">
        <f t="shared" si="9"/>
        <v>88.15</v>
      </c>
      <c r="Z24" s="109">
        <f>AVERAGE(V24,P24,Y24)</f>
        <v>60.119444444444447</v>
      </c>
      <c r="AA24" s="106">
        <f>AVERAGE(C24,D24,E24,F24,I24,J24,R24,T24,W24,X24)</f>
        <v>53.89</v>
      </c>
    </row>
    <row r="25" spans="1:27" ht="14" x14ac:dyDescent="0.2">
      <c r="A25" s="116" t="s">
        <v>406</v>
      </c>
      <c r="B25" s="129" t="s">
        <v>358</v>
      </c>
      <c r="C25" s="130">
        <v>77.8</v>
      </c>
      <c r="D25" s="130">
        <v>36.4</v>
      </c>
      <c r="E25" s="130">
        <v>65.3</v>
      </c>
      <c r="F25" s="90">
        <v>27.5</v>
      </c>
      <c r="G25" s="91">
        <v>28.78</v>
      </c>
      <c r="H25" s="163">
        <v>28.3</v>
      </c>
      <c r="I25" s="169">
        <v>65.099999999999994</v>
      </c>
      <c r="J25" s="90">
        <v>26</v>
      </c>
      <c r="K25" s="91">
        <v>89</v>
      </c>
      <c r="L25" s="118">
        <v>57.5</v>
      </c>
      <c r="M25" s="92"/>
      <c r="N25" s="92"/>
      <c r="O25" s="92"/>
      <c r="P25" s="120">
        <f t="shared" si="3"/>
        <v>49.683333333333337</v>
      </c>
      <c r="Q25" s="122">
        <f t="shared" si="1"/>
        <v>55.066666666666663</v>
      </c>
      <c r="R25" s="111">
        <v>16.899999999999999</v>
      </c>
      <c r="S25" s="111">
        <v>48.3</v>
      </c>
      <c r="T25" s="111">
        <v>38.299999999999997</v>
      </c>
      <c r="U25" s="111">
        <v>61.6</v>
      </c>
      <c r="V25" s="111">
        <f>AVERAGE(R25:T25)</f>
        <v>34.499999999999993</v>
      </c>
      <c r="W25" s="112">
        <v>85.6</v>
      </c>
      <c r="X25" s="113">
        <v>81.7</v>
      </c>
      <c r="Y25" s="114">
        <f t="shared" si="9"/>
        <v>83.65</v>
      </c>
      <c r="Z25" s="109">
        <f t="shared" si="4"/>
        <v>55.94444444444445</v>
      </c>
      <c r="AA25" s="115">
        <f>AVERAGE(C25,D25,E25,F25,I25,J25,R25,T25,W25,X25)</f>
        <v>52.06</v>
      </c>
    </row>
    <row r="26" spans="1:27" ht="14" x14ac:dyDescent="0.2">
      <c r="A26" s="47" t="s">
        <v>427</v>
      </c>
      <c r="B26" s="66" t="s">
        <v>21</v>
      </c>
      <c r="C26" s="127">
        <v>71.900000000000006</v>
      </c>
      <c r="D26" s="127">
        <v>58.2</v>
      </c>
      <c r="E26" s="127">
        <v>71.900000000000006</v>
      </c>
      <c r="F26" s="37">
        <v>30.7</v>
      </c>
      <c r="G26" s="38">
        <v>32</v>
      </c>
      <c r="H26" s="43">
        <v>31.4</v>
      </c>
      <c r="I26" s="167">
        <v>83.6</v>
      </c>
      <c r="J26" s="37">
        <v>15</v>
      </c>
      <c r="K26" s="38">
        <v>76</v>
      </c>
      <c r="L26" s="117">
        <v>45.5</v>
      </c>
      <c r="M26" s="61">
        <v>17.3</v>
      </c>
      <c r="N26" s="61">
        <v>82.7</v>
      </c>
      <c r="O26" s="61">
        <v>50</v>
      </c>
      <c r="P26" s="120">
        <f>AVERAGE(C26,D26,E26,F26,I26,J26)</f>
        <v>55.216666666666669</v>
      </c>
      <c r="Q26" s="122">
        <f>AVERAGE(L26,I26,H26,E26,D26,C26)</f>
        <v>60.416666666666664</v>
      </c>
      <c r="R26" s="61">
        <v>0</v>
      </c>
      <c r="S26" s="61">
        <v>30.8</v>
      </c>
      <c r="T26" s="61">
        <v>13.7</v>
      </c>
      <c r="U26" s="61">
        <v>47.5</v>
      </c>
      <c r="V26" s="61">
        <f>AVERAGE(R26:T26)</f>
        <v>14.833333333333334</v>
      </c>
      <c r="W26" s="97">
        <v>89.5</v>
      </c>
      <c r="X26" s="95">
        <v>84.9</v>
      </c>
      <c r="Y26" s="99">
        <f t="shared" si="9"/>
        <v>87.2</v>
      </c>
      <c r="Z26" s="109">
        <f t="shared" ref="Z26" si="16">AVERAGE(V26,P26,Y26)</f>
        <v>52.416666666666664</v>
      </c>
      <c r="AA26" s="106">
        <f t="shared" ref="AA26" si="17">AVERAGE(C26,D26,E26,F26,I26,J26,R26,T26,W26,X26)</f>
        <v>51.94</v>
      </c>
    </row>
    <row r="27" spans="1:27" ht="14" x14ac:dyDescent="0.2">
      <c r="A27" s="47" t="s">
        <v>411</v>
      </c>
      <c r="B27" s="66" t="s">
        <v>21</v>
      </c>
      <c r="C27" s="162">
        <v>63.2</v>
      </c>
      <c r="D27" s="162">
        <v>30.2</v>
      </c>
      <c r="E27" s="162">
        <v>54</v>
      </c>
      <c r="F27" s="124">
        <v>44.9</v>
      </c>
      <c r="G27" s="40">
        <v>48.7</v>
      </c>
      <c r="H27" s="43">
        <v>47.1</v>
      </c>
      <c r="I27" s="168">
        <v>81</v>
      </c>
      <c r="J27" s="37">
        <v>15</v>
      </c>
      <c r="K27" s="38">
        <v>87</v>
      </c>
      <c r="L27" s="117">
        <v>51</v>
      </c>
      <c r="M27" s="61"/>
      <c r="N27" s="61"/>
      <c r="O27" s="61"/>
      <c r="P27" s="120">
        <f>AVERAGE(C27,D27,E27,F27,I27,J27)</f>
        <v>48.050000000000004</v>
      </c>
      <c r="Q27" s="122">
        <f>AVERAGE(L27,I27,H27,E27,D27,C27)</f>
        <v>54.416666666666664</v>
      </c>
      <c r="R27" s="61">
        <v>12.3</v>
      </c>
      <c r="S27" s="61">
        <v>46</v>
      </c>
      <c r="T27" s="61">
        <v>38.299999999999997</v>
      </c>
      <c r="U27" s="61">
        <v>63.4</v>
      </c>
      <c r="V27" s="61">
        <f>AVERAGE(R27:T27)</f>
        <v>32.199999999999996</v>
      </c>
      <c r="W27" s="97">
        <v>84.8</v>
      </c>
      <c r="X27" s="95">
        <v>81.3</v>
      </c>
      <c r="Y27" s="99">
        <f t="shared" si="9"/>
        <v>83.05</v>
      </c>
      <c r="Z27" s="109">
        <f>AVERAGE(V27,P27,Y27)</f>
        <v>54.433333333333337</v>
      </c>
      <c r="AA27" s="106">
        <f>AVERAGE(C27,D27,E27,F27,I27,J27,R27,T27,W27,X27)</f>
        <v>50.500000000000007</v>
      </c>
    </row>
    <row r="28" spans="1:27" ht="14" x14ac:dyDescent="0.2">
      <c r="A28" s="47" t="s">
        <v>373</v>
      </c>
      <c r="B28" s="128" t="s">
        <v>21</v>
      </c>
      <c r="C28" s="127">
        <v>57.6</v>
      </c>
      <c r="D28" s="127">
        <v>50</v>
      </c>
      <c r="E28" s="127">
        <v>65.8</v>
      </c>
      <c r="F28" s="37">
        <v>62.6</v>
      </c>
      <c r="G28" s="38">
        <v>64.3</v>
      </c>
      <c r="H28" s="43">
        <v>63.6</v>
      </c>
      <c r="I28" s="167">
        <v>75</v>
      </c>
      <c r="J28" s="37">
        <v>17</v>
      </c>
      <c r="K28" s="38">
        <v>82</v>
      </c>
      <c r="L28" s="117">
        <v>49.5</v>
      </c>
      <c r="M28" s="61"/>
      <c r="N28" s="61"/>
      <c r="O28" s="61"/>
      <c r="P28" s="120">
        <f t="shared" si="3"/>
        <v>54.666666666666664</v>
      </c>
      <c r="Q28" s="122">
        <f t="shared" si="1"/>
        <v>60.25</v>
      </c>
      <c r="R28" s="61">
        <v>6</v>
      </c>
      <c r="S28" s="61">
        <v>41.3</v>
      </c>
      <c r="T28" s="61">
        <v>14.3</v>
      </c>
      <c r="U28" s="61">
        <v>46</v>
      </c>
      <c r="V28" s="61">
        <f t="shared" ref="V28" si="18">AVERAGE(R28:T28)</f>
        <v>20.533333333333331</v>
      </c>
      <c r="W28" s="97">
        <v>78.400000000000006</v>
      </c>
      <c r="X28" s="95">
        <v>75.5</v>
      </c>
      <c r="Y28" s="99">
        <f t="shared" si="8"/>
        <v>76.95</v>
      </c>
      <c r="Z28" s="109">
        <f t="shared" si="4"/>
        <v>50.716666666666661</v>
      </c>
      <c r="AA28" s="106">
        <f t="shared" si="5"/>
        <v>50.220000000000006</v>
      </c>
    </row>
    <row r="29" spans="1:27" ht="14" x14ac:dyDescent="0.2">
      <c r="A29" s="47" t="s">
        <v>404</v>
      </c>
      <c r="B29" s="66" t="s">
        <v>405</v>
      </c>
      <c r="C29" s="127">
        <v>41.6</v>
      </c>
      <c r="D29" s="127">
        <v>47.6</v>
      </c>
      <c r="E29" s="127">
        <v>69.2</v>
      </c>
      <c r="F29" s="37">
        <v>35.299999999999997</v>
      </c>
      <c r="G29" s="38">
        <v>36.9</v>
      </c>
      <c r="H29" s="43">
        <v>36.299999999999997</v>
      </c>
      <c r="I29" s="167">
        <v>88.1</v>
      </c>
      <c r="J29" s="37">
        <v>4</v>
      </c>
      <c r="K29" s="38">
        <v>34</v>
      </c>
      <c r="L29" s="117">
        <v>19</v>
      </c>
      <c r="M29" s="61"/>
      <c r="N29" s="61"/>
      <c r="O29" s="61"/>
      <c r="P29" s="120">
        <f t="shared" si="3"/>
        <v>47.633333333333326</v>
      </c>
      <c r="Q29" s="122">
        <f t="shared" si="1"/>
        <v>50.300000000000004</v>
      </c>
      <c r="R29" s="61">
        <v>13</v>
      </c>
      <c r="S29" s="61">
        <v>47.4</v>
      </c>
      <c r="T29" s="61">
        <v>24.7</v>
      </c>
      <c r="U29" s="61">
        <v>54.2</v>
      </c>
      <c r="V29" s="61">
        <f>AVERAGE(R29:T29)</f>
        <v>28.366666666666664</v>
      </c>
      <c r="W29" s="97">
        <v>87.3</v>
      </c>
      <c r="X29" s="95">
        <v>82.8</v>
      </c>
      <c r="Y29" s="99">
        <f>AVERAGE(W29,X29)</f>
        <v>85.05</v>
      </c>
      <c r="Z29" s="109">
        <f t="shared" si="4"/>
        <v>53.68333333333333</v>
      </c>
      <c r="AA29" s="106">
        <f t="shared" si="5"/>
        <v>49.36</v>
      </c>
    </row>
    <row r="30" spans="1:27" ht="14" x14ac:dyDescent="0.2">
      <c r="A30" s="89" t="s">
        <v>413</v>
      </c>
      <c r="B30" s="66" t="s">
        <v>358</v>
      </c>
      <c r="C30" s="127">
        <v>52.6</v>
      </c>
      <c r="D30" s="127">
        <v>20.2</v>
      </c>
      <c r="E30" s="127">
        <v>59.7</v>
      </c>
      <c r="F30" s="37">
        <v>7.9</v>
      </c>
      <c r="G30" s="38">
        <v>8.11</v>
      </c>
      <c r="H30" s="43">
        <v>8</v>
      </c>
      <c r="I30" s="167">
        <v>78.8</v>
      </c>
      <c r="J30" s="37">
        <v>17</v>
      </c>
      <c r="K30" s="38">
        <v>83</v>
      </c>
      <c r="L30" s="117">
        <v>50</v>
      </c>
      <c r="M30" s="61"/>
      <c r="N30" s="61"/>
      <c r="O30" s="61"/>
      <c r="P30" s="120">
        <f>AVERAGE(C30,D30,E30,F30,I30,J30)</f>
        <v>39.366666666666667</v>
      </c>
      <c r="Q30" s="122">
        <f>AVERAGE(L30,I30,H30,E30,D30,C30)</f>
        <v>44.883333333333333</v>
      </c>
      <c r="R30" s="61">
        <v>22.8</v>
      </c>
      <c r="S30" s="61">
        <v>53</v>
      </c>
      <c r="T30" s="61">
        <v>49.5</v>
      </c>
      <c r="U30" s="61">
        <v>69.400000000000006</v>
      </c>
      <c r="V30" s="61">
        <f>AVERAGE(R30:U30)</f>
        <v>48.674999999999997</v>
      </c>
      <c r="W30" s="97">
        <v>92.5</v>
      </c>
      <c r="X30" s="95">
        <v>87.6</v>
      </c>
      <c r="Y30" s="99">
        <f>AVERAGE(W30,X30)</f>
        <v>90.05</v>
      </c>
      <c r="Z30" s="109">
        <f>AVERAGE(V30,P30,Y30)</f>
        <v>59.36388888888888</v>
      </c>
      <c r="AA30" s="106">
        <f>AVERAGE(C30,D30,E30,F30,I30,J30,R30,T30,W30,X30)</f>
        <v>48.86</v>
      </c>
    </row>
    <row r="31" spans="1:27" ht="14" x14ac:dyDescent="0.2">
      <c r="A31" s="89" t="s">
        <v>361</v>
      </c>
      <c r="B31" s="129" t="s">
        <v>358</v>
      </c>
      <c r="C31" s="130">
        <v>36.799999999999997</v>
      </c>
      <c r="D31" s="130">
        <v>16</v>
      </c>
      <c r="E31" s="130">
        <v>57.1</v>
      </c>
      <c r="F31" s="90">
        <v>6.2</v>
      </c>
      <c r="G31" s="91">
        <v>6.2</v>
      </c>
      <c r="H31" s="163">
        <v>6.2</v>
      </c>
      <c r="I31" s="169">
        <v>71.8</v>
      </c>
      <c r="J31" s="90">
        <v>16</v>
      </c>
      <c r="K31" s="91">
        <v>88</v>
      </c>
      <c r="L31" s="118">
        <v>52</v>
      </c>
      <c r="M31" s="92"/>
      <c r="N31" s="92"/>
      <c r="O31" s="92"/>
      <c r="P31" s="120">
        <f t="shared" si="3"/>
        <v>33.983333333333334</v>
      </c>
      <c r="Q31" s="122">
        <f t="shared" si="1"/>
        <v>39.983333333333327</v>
      </c>
      <c r="R31" s="92">
        <v>23.3</v>
      </c>
      <c r="S31" s="92">
        <v>53</v>
      </c>
      <c r="T31" s="92">
        <v>47.2</v>
      </c>
      <c r="U31" s="92">
        <v>68.5</v>
      </c>
      <c r="V31" s="92">
        <f>AVERAGE(R31:T31)</f>
        <v>41.166666666666664</v>
      </c>
      <c r="W31" s="97">
        <v>91</v>
      </c>
      <c r="X31" s="95">
        <v>85.9</v>
      </c>
      <c r="Y31" s="99">
        <f t="shared" si="8"/>
        <v>88.45</v>
      </c>
      <c r="Z31" s="109">
        <f t="shared" si="4"/>
        <v>54.533333333333339</v>
      </c>
      <c r="AA31" s="106">
        <f t="shared" si="5"/>
        <v>45.13000000000001</v>
      </c>
    </row>
    <row r="32" spans="1:27" ht="14" x14ac:dyDescent="0.2">
      <c r="A32" s="47" t="s">
        <v>407</v>
      </c>
      <c r="B32" s="66" t="s">
        <v>21</v>
      </c>
      <c r="C32" s="162">
        <v>62.5</v>
      </c>
      <c r="D32" s="162">
        <v>46.4</v>
      </c>
      <c r="E32" s="162">
        <v>63.4</v>
      </c>
      <c r="F32" s="124">
        <v>39.799999999999997</v>
      </c>
      <c r="G32" s="40">
        <v>42.9</v>
      </c>
      <c r="H32" s="43">
        <v>41.6</v>
      </c>
      <c r="I32" s="168">
        <v>83.7</v>
      </c>
      <c r="J32" s="37">
        <v>8</v>
      </c>
      <c r="K32" s="38">
        <v>91</v>
      </c>
      <c r="L32" s="117">
        <v>49.5</v>
      </c>
      <c r="M32" s="61"/>
      <c r="N32" s="61"/>
      <c r="O32" s="61"/>
      <c r="P32" s="120">
        <f>AVERAGE(C32,D32,E32,F32,I32,J32)</f>
        <v>50.633333333333333</v>
      </c>
      <c r="Q32" s="122">
        <f>AVERAGE(L32,I32,H32,E32,D32,C32)</f>
        <v>57.849999999999994</v>
      </c>
      <c r="R32" s="61">
        <v>7</v>
      </c>
      <c r="S32" s="61">
        <v>42.4</v>
      </c>
      <c r="T32" s="61">
        <v>16.2</v>
      </c>
      <c r="U32" s="61">
        <v>46.8</v>
      </c>
      <c r="V32" s="61">
        <f>AVERAGE(R32:U32)</f>
        <v>28.099999999999998</v>
      </c>
      <c r="W32" s="97">
        <v>53.8</v>
      </c>
      <c r="X32" s="95">
        <v>52.2</v>
      </c>
      <c r="Y32" s="99">
        <f>AVERAGE(W32,X32)</f>
        <v>53</v>
      </c>
      <c r="Z32" s="109">
        <f>AVERAGE(V32,P32,Y32)</f>
        <v>43.911111111111119</v>
      </c>
      <c r="AA32" s="106">
        <f>AVERAGE(C32,D32,E32,F32,I32,J32,R32,T32,W32,X32)</f>
        <v>43.3</v>
      </c>
    </row>
    <row r="33" spans="1:27" ht="14" x14ac:dyDescent="0.2">
      <c r="A33" s="116" t="s">
        <v>362</v>
      </c>
      <c r="B33" s="128" t="s">
        <v>358</v>
      </c>
      <c r="C33" s="127">
        <v>59.8</v>
      </c>
      <c r="D33" s="127">
        <v>12.8</v>
      </c>
      <c r="E33" s="127">
        <v>42.5</v>
      </c>
      <c r="F33" s="37">
        <v>5.9</v>
      </c>
      <c r="G33" s="38">
        <v>6</v>
      </c>
      <c r="H33" s="44">
        <v>5.9</v>
      </c>
      <c r="I33" s="167">
        <v>72.5</v>
      </c>
      <c r="J33" s="37">
        <v>25</v>
      </c>
      <c r="K33" s="39">
        <v>92</v>
      </c>
      <c r="L33" s="117">
        <v>58.5</v>
      </c>
      <c r="M33" s="61"/>
      <c r="N33" s="61"/>
      <c r="O33" s="61"/>
      <c r="P33" s="120">
        <f t="shared" ref="P33" si="19">AVERAGE(C33,D33,E33,F33,I33,J33)</f>
        <v>36.416666666666664</v>
      </c>
      <c r="Q33" s="147">
        <f t="shared" ref="Q33" si="20">AVERAGE(L33,I33,H33,E33,D33,C33)</f>
        <v>42</v>
      </c>
      <c r="R33" s="148">
        <v>18.8</v>
      </c>
      <c r="S33" s="145">
        <v>48</v>
      </c>
      <c r="T33" s="145">
        <v>29</v>
      </c>
      <c r="U33" s="145">
        <v>58.2</v>
      </c>
      <c r="V33" s="145">
        <f t="shared" ref="V33" si="21">AVERAGE(R33:T33)</f>
        <v>31.933333333333334</v>
      </c>
      <c r="W33" s="149">
        <v>86.2</v>
      </c>
      <c r="X33" s="150">
        <v>82.8</v>
      </c>
      <c r="Y33" s="151">
        <f t="shared" ref="Y33" si="22">AVERAGE(W33,X33)</f>
        <v>84.5</v>
      </c>
      <c r="Z33" s="152">
        <f t="shared" ref="Z33" si="23">AVERAGE(V33,P33,Y33)</f>
        <v>50.949999999999996</v>
      </c>
      <c r="AA33" s="152">
        <f t="shared" ref="AA33" si="24">AVERAGE(C33,D33,E33,F33,I33,J33,R33,T33,W33,X33)</f>
        <v>43.53</v>
      </c>
    </row>
    <row r="34" spans="1:27" ht="14" x14ac:dyDescent="0.2">
      <c r="A34" s="116" t="s">
        <v>417</v>
      </c>
      <c r="B34" s="133" t="s">
        <v>21</v>
      </c>
      <c r="C34" s="130">
        <v>18.7</v>
      </c>
      <c r="D34" s="130">
        <v>25.2</v>
      </c>
      <c r="E34" s="130">
        <v>38.5</v>
      </c>
      <c r="F34" s="90">
        <v>6.9</v>
      </c>
      <c r="G34" s="91">
        <v>7</v>
      </c>
      <c r="H34" s="171">
        <v>7</v>
      </c>
      <c r="I34" s="169">
        <v>84.6</v>
      </c>
      <c r="J34" s="90">
        <v>6</v>
      </c>
      <c r="K34" s="91">
        <v>39</v>
      </c>
      <c r="L34" s="118">
        <v>22.5</v>
      </c>
      <c r="M34" s="92"/>
      <c r="N34" s="92"/>
      <c r="O34" s="92"/>
      <c r="P34" s="120">
        <f>AVERAGE(C34,D34,E34,F34,I34,J34)</f>
        <v>29.983333333333334</v>
      </c>
      <c r="Q34" s="122">
        <f>AVERAGE(L34,I34,H34,E34,D34,C34)</f>
        <v>32.749999999999993</v>
      </c>
      <c r="R34" s="92">
        <v>37.5</v>
      </c>
      <c r="S34" s="92">
        <v>65.400000000000006</v>
      </c>
      <c r="T34" s="92">
        <v>61.2</v>
      </c>
      <c r="U34" s="92">
        <v>76.599999999999994</v>
      </c>
      <c r="V34" s="111">
        <f>AVERAGE(R34:T34)</f>
        <v>54.70000000000001</v>
      </c>
      <c r="W34" s="112">
        <v>20.2</v>
      </c>
      <c r="X34" s="113">
        <v>19.7</v>
      </c>
      <c r="Y34" s="114">
        <f>AVERAGE(W34,X34)</f>
        <v>19.95</v>
      </c>
      <c r="Z34" s="109">
        <f t="shared" ref="Z34" si="25">AVERAGE(V34,P34,Y34)</f>
        <v>34.87777777777778</v>
      </c>
      <c r="AA34" s="115">
        <f>AVERAGE(C34,D34,E34,F34,I34,J34,R34,T34,W34,X34)</f>
        <v>31.85</v>
      </c>
    </row>
    <row r="35" spans="1:27" ht="15" thickBot="1" x14ac:dyDescent="0.25">
      <c r="A35" s="55" t="s">
        <v>415</v>
      </c>
      <c r="B35" s="67" t="s">
        <v>414</v>
      </c>
      <c r="C35" s="131">
        <v>18.100000000000001</v>
      </c>
      <c r="D35" s="131">
        <v>25.2</v>
      </c>
      <c r="E35" s="131">
        <v>38.5</v>
      </c>
      <c r="F35" s="56">
        <v>6.9</v>
      </c>
      <c r="G35" s="42">
        <v>7</v>
      </c>
      <c r="H35" s="57">
        <v>7</v>
      </c>
      <c r="I35" s="170">
        <v>84.6</v>
      </c>
      <c r="J35" s="56">
        <v>6</v>
      </c>
      <c r="K35" s="42">
        <v>39</v>
      </c>
      <c r="L35" s="53">
        <v>22.5</v>
      </c>
      <c r="M35" s="62"/>
      <c r="N35" s="62"/>
      <c r="O35" s="62"/>
      <c r="P35" s="131">
        <f>AVERAGE(C35,D35,E35,F35,I35,J35)</f>
        <v>29.883333333333336</v>
      </c>
      <c r="Q35" s="153">
        <f>AVERAGE(L35,I35,H35,E35,D35,C35)</f>
        <v>32.65</v>
      </c>
      <c r="R35" s="154">
        <v>37.5</v>
      </c>
      <c r="S35" s="154">
        <v>65.400000000000006</v>
      </c>
      <c r="T35" s="154">
        <v>61.2</v>
      </c>
      <c r="U35" s="154">
        <v>76.599999999999994</v>
      </c>
      <c r="V35" s="154">
        <f>AVERAGE(R35:U35)</f>
        <v>60.175000000000004</v>
      </c>
      <c r="W35" s="155">
        <v>20.2</v>
      </c>
      <c r="X35" s="156">
        <v>19.7</v>
      </c>
      <c r="Y35" s="157">
        <f>AVERAGE(W35,X35)</f>
        <v>19.95</v>
      </c>
      <c r="Z35" s="158">
        <f>AVERAGE(V35,P35,Y35)</f>
        <v>36.669444444444444</v>
      </c>
      <c r="AA35" s="159">
        <f>AVERAGE(C35,D35,E35,F35,I35,J35,R35,T35,W35,X35)</f>
        <v>31.79</v>
      </c>
    </row>
    <row r="37" spans="1:27" ht="15.75" customHeight="1" x14ac:dyDescent="0.2">
      <c r="A37" s="173" t="s">
        <v>430</v>
      </c>
      <c r="B37" s="84"/>
    </row>
    <row r="38" spans="1:27" ht="15.75" customHeight="1" x14ac:dyDescent="0.2">
      <c r="A38" s="174" t="s">
        <v>428</v>
      </c>
      <c r="B38" s="84"/>
    </row>
    <row r="39" spans="1:27" ht="15.75" customHeight="1" x14ac:dyDescent="0.2">
      <c r="A39" s="174" t="s">
        <v>429</v>
      </c>
      <c r="B39" s="85"/>
    </row>
  </sheetData>
  <mergeCells count="25">
    <mergeCell ref="Z1:Z4"/>
    <mergeCell ref="AA1:AA4"/>
    <mergeCell ref="A2:A4"/>
    <mergeCell ref="B2:B4"/>
    <mergeCell ref="F2:H2"/>
    <mergeCell ref="P2:P4"/>
    <mergeCell ref="Q2:Q4"/>
    <mergeCell ref="R2:V2"/>
    <mergeCell ref="C3:C4"/>
    <mergeCell ref="D3:D4"/>
    <mergeCell ref="E3:E4"/>
    <mergeCell ref="W1:Y1"/>
    <mergeCell ref="Y2:Y4"/>
    <mergeCell ref="F3:H3"/>
    <mergeCell ref="I3:I4"/>
    <mergeCell ref="J3:L3"/>
    <mergeCell ref="W2:W4"/>
    <mergeCell ref="X2:X4"/>
    <mergeCell ref="R3:S3"/>
    <mergeCell ref="T3:U3"/>
    <mergeCell ref="B1:Q1"/>
    <mergeCell ref="R1:V1"/>
    <mergeCell ref="J2:O2"/>
    <mergeCell ref="M3:O3"/>
    <mergeCell ref="V3:V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5"/>
  <sheetViews>
    <sheetView topLeftCell="B1" zoomScale="140" zoomScaleNormal="140" workbookViewId="0">
      <selection activeCell="B19" sqref="A19:XFD21"/>
    </sheetView>
  </sheetViews>
  <sheetFormatPr baseColWidth="10" defaultColWidth="12.6640625" defaultRowHeight="15.75" customHeight="1" x14ac:dyDescent="0.15"/>
  <cols>
    <col min="1" max="1" width="16" hidden="1" customWidth="1"/>
    <col min="2" max="2" width="36.5" customWidth="1"/>
    <col min="3" max="3" width="8.83203125" customWidth="1"/>
    <col min="4" max="4" width="7.1640625" customWidth="1"/>
    <col min="5" max="5" width="16.6640625" customWidth="1"/>
    <col min="6" max="6" width="17.83203125" customWidth="1"/>
    <col min="7" max="7" width="15.5" customWidth="1"/>
    <col min="8" max="8" width="9.1640625" customWidth="1"/>
    <col min="9" max="9" width="11.1640625" customWidth="1"/>
    <col min="10" max="10" width="9.83203125" customWidth="1"/>
    <col min="11" max="11" width="16" customWidth="1"/>
    <col min="12" max="12" width="10.6640625" style="41" customWidth="1"/>
    <col min="13" max="13" width="9.6640625" style="41" customWidth="1"/>
    <col min="14" max="14" width="8.5" style="41" customWidth="1"/>
    <col min="15" max="15" width="14.33203125" hidden="1" customWidth="1"/>
    <col min="16" max="16" width="11.6640625" customWidth="1"/>
    <col min="17" max="17" width="6.1640625" customWidth="1"/>
    <col min="18" max="18" width="6.5" customWidth="1"/>
    <col min="19" max="19" width="5.83203125" customWidth="1"/>
    <col min="20" max="20" width="6.33203125" customWidth="1"/>
    <col min="21" max="21" width="9.6640625" customWidth="1"/>
    <col min="22" max="22" width="10.83203125" customWidth="1"/>
    <col min="23" max="23" width="12.5" customWidth="1"/>
  </cols>
  <sheetData>
    <row r="1" spans="1:23" ht="31" customHeight="1" thickBot="1" x14ac:dyDescent="0.2">
      <c r="C1" s="753" t="s">
        <v>384</v>
      </c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5"/>
      <c r="Q1" s="753" t="s">
        <v>378</v>
      </c>
      <c r="R1" s="754"/>
      <c r="S1" s="754"/>
      <c r="T1" s="754"/>
      <c r="U1" s="754"/>
      <c r="V1" s="691" t="s">
        <v>385</v>
      </c>
      <c r="W1" s="691" t="s">
        <v>393</v>
      </c>
    </row>
    <row r="2" spans="1:23" ht="15" thickBot="1" x14ac:dyDescent="0.25">
      <c r="A2" s="756" t="s">
        <v>350</v>
      </c>
      <c r="B2" s="738" t="s">
        <v>0</v>
      </c>
      <c r="C2" s="768" t="s">
        <v>1</v>
      </c>
      <c r="D2" s="771" t="s">
        <v>347</v>
      </c>
      <c r="E2" s="52" t="s">
        <v>2</v>
      </c>
      <c r="F2" s="75" t="s">
        <v>3</v>
      </c>
      <c r="G2" s="75" t="s">
        <v>4</v>
      </c>
      <c r="H2" s="762" t="s">
        <v>5</v>
      </c>
      <c r="I2" s="763"/>
      <c r="J2" s="764"/>
      <c r="K2" s="74" t="s">
        <v>367</v>
      </c>
      <c r="L2" s="777" t="s">
        <v>7</v>
      </c>
      <c r="M2" s="778"/>
      <c r="N2" s="779"/>
      <c r="O2" s="759" t="s">
        <v>366</v>
      </c>
      <c r="P2" s="748" t="s">
        <v>383</v>
      </c>
      <c r="Q2" s="721" t="s">
        <v>381</v>
      </c>
      <c r="R2" s="722"/>
      <c r="S2" s="722"/>
      <c r="T2" s="722"/>
      <c r="U2" s="723"/>
      <c r="V2" s="729"/>
      <c r="W2" s="729"/>
    </row>
    <row r="3" spans="1:23" ht="14" thickBot="1" x14ac:dyDescent="0.2">
      <c r="A3" s="757"/>
      <c r="B3" s="739"/>
      <c r="C3" s="769"/>
      <c r="D3" s="772"/>
      <c r="E3" s="775" t="s">
        <v>9</v>
      </c>
      <c r="F3" s="774" t="s">
        <v>10</v>
      </c>
      <c r="G3" s="774" t="s">
        <v>11</v>
      </c>
      <c r="H3" s="765" t="s">
        <v>12</v>
      </c>
      <c r="I3" s="766"/>
      <c r="J3" s="767"/>
      <c r="K3" s="766" t="s">
        <v>13</v>
      </c>
      <c r="L3" s="780" t="s">
        <v>14</v>
      </c>
      <c r="M3" s="781"/>
      <c r="N3" s="782"/>
      <c r="O3" s="760"/>
      <c r="P3" s="687"/>
      <c r="Q3" s="703" t="s">
        <v>380</v>
      </c>
      <c r="R3" s="700"/>
      <c r="S3" s="703" t="s">
        <v>379</v>
      </c>
      <c r="T3" s="700"/>
      <c r="U3" s="704" t="s">
        <v>382</v>
      </c>
      <c r="V3" s="729"/>
      <c r="W3" s="729"/>
    </row>
    <row r="4" spans="1:23" ht="14" thickBot="1" x14ac:dyDescent="0.2">
      <c r="A4" s="758"/>
      <c r="B4" s="740"/>
      <c r="C4" s="770"/>
      <c r="D4" s="773"/>
      <c r="E4" s="776"/>
      <c r="F4" s="709"/>
      <c r="G4" s="709"/>
      <c r="H4" s="72" t="s">
        <v>368</v>
      </c>
      <c r="I4" s="71" t="s">
        <v>369</v>
      </c>
      <c r="J4" s="73" t="s">
        <v>370</v>
      </c>
      <c r="K4" s="714"/>
      <c r="L4" s="72" t="s">
        <v>345</v>
      </c>
      <c r="M4" s="71" t="s">
        <v>344</v>
      </c>
      <c r="N4" s="73" t="s">
        <v>346</v>
      </c>
      <c r="O4" s="761"/>
      <c r="P4" s="749"/>
      <c r="Q4" s="78" t="s">
        <v>387</v>
      </c>
      <c r="R4" s="79" t="s">
        <v>388</v>
      </c>
      <c r="S4" s="76" t="s">
        <v>387</v>
      </c>
      <c r="T4" s="77" t="s">
        <v>388</v>
      </c>
      <c r="U4" s="705"/>
      <c r="V4" s="730"/>
      <c r="W4" s="730"/>
    </row>
    <row r="5" spans="1:23" ht="15" thickBot="1" x14ac:dyDescent="0.25">
      <c r="A5" s="30"/>
      <c r="B5" s="51" t="s">
        <v>371</v>
      </c>
      <c r="C5" s="34" t="s">
        <v>359</v>
      </c>
      <c r="D5" s="35" t="s">
        <v>349</v>
      </c>
      <c r="E5" s="35">
        <v>93.8</v>
      </c>
      <c r="F5" s="35">
        <v>89</v>
      </c>
      <c r="G5" s="36">
        <v>74.8</v>
      </c>
      <c r="H5" s="36">
        <v>53.8</v>
      </c>
      <c r="I5" s="36">
        <v>55.9</v>
      </c>
      <c r="J5" s="36">
        <v>55.1</v>
      </c>
      <c r="K5" s="35">
        <v>88.9</v>
      </c>
      <c r="L5" s="36">
        <v>57</v>
      </c>
      <c r="M5" s="35">
        <v>81</v>
      </c>
      <c r="N5" s="54">
        <v>69</v>
      </c>
      <c r="O5" s="45"/>
      <c r="P5" s="63">
        <f>AVERAGE(N5,K5,J5,G5,F5,E5)</f>
        <v>78.433333333333337</v>
      </c>
      <c r="Q5" s="60" t="s">
        <v>386</v>
      </c>
      <c r="R5" s="60" t="s">
        <v>386</v>
      </c>
      <c r="S5" s="60" t="s">
        <v>386</v>
      </c>
      <c r="T5" s="60" t="s">
        <v>386</v>
      </c>
      <c r="U5" s="65" t="s">
        <v>386</v>
      </c>
      <c r="V5" s="68" t="s">
        <v>349</v>
      </c>
      <c r="W5" s="68" t="s">
        <v>349</v>
      </c>
    </row>
    <row r="6" spans="1:23" ht="15" thickBot="1" x14ac:dyDescent="0.25">
      <c r="A6" s="31" t="s">
        <v>351</v>
      </c>
      <c r="B6" s="50" t="s">
        <v>372</v>
      </c>
      <c r="C6" s="34" t="s">
        <v>359</v>
      </c>
      <c r="D6" s="35" t="s">
        <v>349</v>
      </c>
      <c r="E6" s="36">
        <v>94.2</v>
      </c>
      <c r="F6" s="36">
        <v>90.6</v>
      </c>
      <c r="G6" s="36">
        <v>74.8</v>
      </c>
      <c r="H6" s="35">
        <v>45.3</v>
      </c>
      <c r="I6" s="35">
        <v>47.2</v>
      </c>
      <c r="J6" s="35">
        <v>46.4</v>
      </c>
      <c r="K6" s="35">
        <v>88.9</v>
      </c>
      <c r="L6" s="35">
        <v>56</v>
      </c>
      <c r="M6" s="35">
        <v>79</v>
      </c>
      <c r="N6" s="43">
        <v>67.5</v>
      </c>
      <c r="O6" s="45"/>
      <c r="P6" s="64">
        <f t="shared" ref="P6:P21" si="0">AVERAGE(N6,K6,J6,G6,F6,E6)</f>
        <v>77.066666666666677</v>
      </c>
      <c r="Q6" s="60" t="s">
        <v>386</v>
      </c>
      <c r="R6" s="60" t="s">
        <v>386</v>
      </c>
      <c r="S6" s="60" t="s">
        <v>386</v>
      </c>
      <c r="T6" s="60" t="s">
        <v>386</v>
      </c>
      <c r="U6" s="66" t="s">
        <v>386</v>
      </c>
      <c r="V6" s="69" t="s">
        <v>349</v>
      </c>
      <c r="W6" s="69" t="s">
        <v>349</v>
      </c>
    </row>
    <row r="7" spans="1:23" ht="14" x14ac:dyDescent="0.2">
      <c r="A7" s="31" t="s">
        <v>351</v>
      </c>
      <c r="B7" s="49" t="s">
        <v>396</v>
      </c>
      <c r="C7" s="34" t="s">
        <v>359</v>
      </c>
      <c r="D7" s="35" t="s">
        <v>349</v>
      </c>
      <c r="E7" s="35">
        <v>90.83</v>
      </c>
      <c r="F7" s="35">
        <v>83.2</v>
      </c>
      <c r="G7" s="35">
        <v>74.349999999999994</v>
      </c>
      <c r="H7" s="35">
        <v>43.1</v>
      </c>
      <c r="I7" s="35"/>
      <c r="J7" s="35">
        <f>H7</f>
        <v>43.1</v>
      </c>
      <c r="K7" s="36">
        <v>90.66</v>
      </c>
      <c r="L7" s="35">
        <v>36</v>
      </c>
      <c r="M7" s="35">
        <v>76</v>
      </c>
      <c r="N7" s="43">
        <v>56</v>
      </c>
      <c r="O7" s="45">
        <f>AVERAGE(E7:L7)</f>
        <v>65.891428571428577</v>
      </c>
      <c r="P7" s="64">
        <f t="shared" si="0"/>
        <v>73.023333333333326</v>
      </c>
      <c r="Q7" s="60"/>
      <c r="R7" s="60"/>
      <c r="S7" s="60"/>
      <c r="T7" s="60"/>
      <c r="U7" s="66"/>
      <c r="V7" s="69"/>
      <c r="W7" s="69"/>
    </row>
    <row r="8" spans="1:23" ht="14" x14ac:dyDescent="0.2">
      <c r="A8" s="59"/>
      <c r="B8" s="49" t="s">
        <v>375</v>
      </c>
      <c r="C8" s="34" t="s">
        <v>360</v>
      </c>
      <c r="D8" s="35" t="s">
        <v>349</v>
      </c>
      <c r="E8" s="35">
        <v>88.8</v>
      </c>
      <c r="F8" s="35">
        <v>74.8</v>
      </c>
      <c r="G8" s="35">
        <v>74.099999999999994</v>
      </c>
      <c r="H8" s="35">
        <v>33.799999999999997</v>
      </c>
      <c r="I8" s="35">
        <v>36.6</v>
      </c>
      <c r="J8" s="35">
        <v>35.4</v>
      </c>
      <c r="K8" s="35">
        <v>83.5</v>
      </c>
      <c r="L8" s="35">
        <v>36</v>
      </c>
      <c r="M8" s="35">
        <v>77</v>
      </c>
      <c r="N8" s="43">
        <v>74.8</v>
      </c>
      <c r="O8" s="45"/>
      <c r="P8" s="64">
        <f t="shared" si="0"/>
        <v>71.900000000000006</v>
      </c>
      <c r="Q8" s="60">
        <v>34.6</v>
      </c>
      <c r="R8" s="60">
        <v>63.2</v>
      </c>
      <c r="S8" s="60">
        <v>58.9</v>
      </c>
      <c r="T8" s="60">
        <v>73.8</v>
      </c>
      <c r="U8" s="81">
        <f>AVERAGE(Q8:S8)</f>
        <v>52.233333333333341</v>
      </c>
      <c r="V8" s="80">
        <f t="shared" ref="V8" si="1">AVERAGE(U8,P8)</f>
        <v>62.066666666666677</v>
      </c>
      <c r="W8" s="80">
        <f>AVERAGE(E8,F8,G8,H8,K8,L8,Q8,S8)</f>
        <v>60.5625</v>
      </c>
    </row>
    <row r="9" spans="1:23" ht="14" x14ac:dyDescent="0.2">
      <c r="A9" s="59"/>
      <c r="B9" s="49" t="s">
        <v>374</v>
      </c>
      <c r="C9" s="34" t="s">
        <v>359</v>
      </c>
      <c r="D9" s="35" t="s">
        <v>349</v>
      </c>
      <c r="E9" s="35">
        <v>91.5</v>
      </c>
      <c r="F9" s="35">
        <v>83.2</v>
      </c>
      <c r="G9" s="35">
        <v>74.5</v>
      </c>
      <c r="H9" s="35">
        <v>33.9</v>
      </c>
      <c r="I9" s="35">
        <v>35.700000000000003</v>
      </c>
      <c r="J9" s="35">
        <v>34.9</v>
      </c>
      <c r="K9" s="35">
        <v>89</v>
      </c>
      <c r="L9" s="35">
        <v>37</v>
      </c>
      <c r="M9" s="35">
        <v>86</v>
      </c>
      <c r="N9" s="43">
        <v>61.5</v>
      </c>
      <c r="O9" s="45"/>
      <c r="P9" s="64">
        <f t="shared" ref="P9" si="2">AVERAGE(N9,K9,J9,G9,F9,E9)</f>
        <v>72.433333333333323</v>
      </c>
      <c r="Q9" s="61">
        <v>29</v>
      </c>
      <c r="R9" s="61">
        <v>58.9</v>
      </c>
      <c r="S9" s="61">
        <v>56.3</v>
      </c>
      <c r="T9" s="61">
        <v>71.8</v>
      </c>
      <c r="U9" s="66">
        <f>AVERAGE(Q9:S9)</f>
        <v>48.066666666666663</v>
      </c>
      <c r="V9" s="69">
        <f t="shared" ref="V9" si="3">AVERAGE(U9,P9)</f>
        <v>60.249999999999993</v>
      </c>
      <c r="W9" s="69">
        <f t="shared" ref="W9:W16" si="4">AVERAGE(E9,F9,G9,H9,K9,L9,Q9,S9)</f>
        <v>61.8</v>
      </c>
    </row>
    <row r="10" spans="1:23" ht="14" x14ac:dyDescent="0.2">
      <c r="A10" s="32" t="s">
        <v>352</v>
      </c>
      <c r="B10" s="47" t="s">
        <v>16</v>
      </c>
      <c r="C10" s="34" t="s">
        <v>359</v>
      </c>
      <c r="D10" s="38" t="s">
        <v>349</v>
      </c>
      <c r="E10" s="38">
        <v>91.5</v>
      </c>
      <c r="F10" s="38">
        <v>74.400000000000006</v>
      </c>
      <c r="G10" s="38">
        <v>72.400000000000006</v>
      </c>
      <c r="H10" s="38">
        <v>35.700000000000003</v>
      </c>
      <c r="I10" s="38">
        <v>35.700000000000003</v>
      </c>
      <c r="J10" s="35">
        <v>35.700000000000003</v>
      </c>
      <c r="K10" s="38">
        <v>85.9</v>
      </c>
      <c r="L10" s="38">
        <v>49</v>
      </c>
      <c r="M10" s="38">
        <v>86</v>
      </c>
      <c r="N10" s="44">
        <v>67.5</v>
      </c>
      <c r="O10" s="46">
        <f>AVERAGE(E10:L10)</f>
        <v>60.037499999999994</v>
      </c>
      <c r="P10" s="64">
        <f t="shared" si="0"/>
        <v>71.233333333333334</v>
      </c>
      <c r="Q10" s="61">
        <v>28.5</v>
      </c>
      <c r="R10" s="61">
        <v>56.7</v>
      </c>
      <c r="S10" s="61">
        <v>55.9</v>
      </c>
      <c r="T10" s="61">
        <v>71.8</v>
      </c>
      <c r="U10" s="66">
        <f>AVERAGE(Q10:S10)</f>
        <v>47.033333333333331</v>
      </c>
      <c r="V10" s="69">
        <f t="shared" ref="V10" si="5">AVERAGE(U10,P10)</f>
        <v>59.133333333333333</v>
      </c>
      <c r="W10" s="69">
        <f t="shared" si="4"/>
        <v>61.662499999999994</v>
      </c>
    </row>
    <row r="11" spans="1:23" ht="14" x14ac:dyDescent="0.2">
      <c r="A11" s="32" t="s">
        <v>353</v>
      </c>
      <c r="B11" s="47" t="s">
        <v>18</v>
      </c>
      <c r="C11" s="37" t="s">
        <v>360</v>
      </c>
      <c r="D11" s="38" t="s">
        <v>349</v>
      </c>
      <c r="E11" s="40">
        <v>86.6</v>
      </c>
      <c r="F11" s="40">
        <v>56.4</v>
      </c>
      <c r="G11" s="40">
        <v>70.400000000000006</v>
      </c>
      <c r="H11" s="40">
        <v>22.7</v>
      </c>
      <c r="I11" s="40">
        <v>22.7</v>
      </c>
      <c r="J11" s="35">
        <v>22.7</v>
      </c>
      <c r="K11" s="40">
        <v>83.7</v>
      </c>
      <c r="L11" s="38">
        <v>31</v>
      </c>
      <c r="M11" s="38">
        <v>88</v>
      </c>
      <c r="N11" s="44">
        <v>59.5</v>
      </c>
      <c r="O11" s="46">
        <f>AVERAGE(E11:L11)</f>
        <v>49.524999999999999</v>
      </c>
      <c r="P11" s="64">
        <f t="shared" si="0"/>
        <v>63.216666666666661</v>
      </c>
      <c r="Q11" s="61">
        <v>28.3</v>
      </c>
      <c r="R11" s="61">
        <v>57.2</v>
      </c>
      <c r="S11" s="61">
        <v>56.1</v>
      </c>
      <c r="T11" s="61">
        <v>73.2</v>
      </c>
      <c r="U11" s="66">
        <f>AVERAGE(Q11:S11)</f>
        <v>47.199999999999996</v>
      </c>
      <c r="V11" s="69">
        <f>AVERAGE(U11,P11)</f>
        <v>55.208333333333329</v>
      </c>
      <c r="W11" s="69">
        <f t="shared" si="4"/>
        <v>54.400000000000006</v>
      </c>
    </row>
    <row r="12" spans="1:23" ht="14" x14ac:dyDescent="0.2">
      <c r="A12" s="32" t="s">
        <v>351</v>
      </c>
      <c r="B12" s="47" t="s">
        <v>19</v>
      </c>
      <c r="C12" s="37" t="s">
        <v>359</v>
      </c>
      <c r="D12" s="38" t="s">
        <v>349</v>
      </c>
      <c r="E12" s="38">
        <v>79</v>
      </c>
      <c r="F12" s="38">
        <v>51.6</v>
      </c>
      <c r="G12" s="38">
        <v>65.05</v>
      </c>
      <c r="H12" s="38">
        <v>13.4445</v>
      </c>
      <c r="I12" s="38"/>
      <c r="J12" s="35">
        <f t="shared" ref="J12" si="6">H12</f>
        <v>13.4445</v>
      </c>
      <c r="K12" s="38">
        <v>78.498999999999995</v>
      </c>
      <c r="L12" s="38">
        <v>30</v>
      </c>
      <c r="M12" s="38">
        <v>87</v>
      </c>
      <c r="N12" s="44">
        <v>58.5</v>
      </c>
      <c r="O12" s="46">
        <f>AVERAGE(E12:L12)</f>
        <v>47.291142857142859</v>
      </c>
      <c r="P12" s="64">
        <f t="shared" ref="P12" si="7">AVERAGE(N12,K12,J12,G12,F12,E12)</f>
        <v>57.682250000000003</v>
      </c>
      <c r="Q12" s="61">
        <v>30.3</v>
      </c>
      <c r="R12" s="61">
        <v>60.2</v>
      </c>
      <c r="S12" s="61">
        <v>48</v>
      </c>
      <c r="T12" s="61">
        <v>67.099999999999994</v>
      </c>
      <c r="U12" s="66">
        <f t="shared" ref="U12" si="8">AVERAGE(Q12:S12)</f>
        <v>46.166666666666664</v>
      </c>
      <c r="V12" s="69">
        <f t="shared" ref="V12" si="9">AVERAGE(U12,P12)</f>
        <v>51.924458333333334</v>
      </c>
      <c r="W12" s="69">
        <f t="shared" si="4"/>
        <v>49.486687499999995</v>
      </c>
    </row>
    <row r="13" spans="1:23" ht="13" customHeight="1" x14ac:dyDescent="0.2">
      <c r="A13" s="32"/>
      <c r="B13" s="47" t="s">
        <v>389</v>
      </c>
      <c r="C13" s="37" t="s">
        <v>21</v>
      </c>
      <c r="D13" s="38" t="s">
        <v>348</v>
      </c>
      <c r="E13" s="38">
        <v>57.3</v>
      </c>
      <c r="F13" s="38">
        <v>52.6</v>
      </c>
      <c r="G13" s="38">
        <v>58.9</v>
      </c>
      <c r="H13" s="38">
        <v>67.099999999999994</v>
      </c>
      <c r="I13" s="38">
        <v>68.900000000000006</v>
      </c>
      <c r="J13" s="35">
        <v>68.099999999999994</v>
      </c>
      <c r="K13" s="38">
        <v>80.099999999999994</v>
      </c>
      <c r="L13" s="38">
        <v>13</v>
      </c>
      <c r="M13" s="38">
        <v>73</v>
      </c>
      <c r="N13" s="44">
        <v>43</v>
      </c>
      <c r="O13" s="46"/>
      <c r="P13" s="64">
        <f>AVERAGE(N13,K13,J13,G13,F13,E13)</f>
        <v>60</v>
      </c>
      <c r="Q13" s="61">
        <v>16.100000000000001</v>
      </c>
      <c r="R13" s="61">
        <v>48.6</v>
      </c>
      <c r="S13" s="61">
        <v>35.4</v>
      </c>
      <c r="T13" s="61">
        <v>61.5</v>
      </c>
      <c r="U13" s="66">
        <f>AVERAGE(Q13:T13)</f>
        <v>40.4</v>
      </c>
      <c r="V13" s="69">
        <f>AVERAGE(U13,P13)</f>
        <v>50.2</v>
      </c>
      <c r="W13" s="69">
        <f t="shared" si="4"/>
        <v>47.5625</v>
      </c>
    </row>
    <row r="14" spans="1:23" ht="14" x14ac:dyDescent="0.2">
      <c r="A14" s="32"/>
      <c r="B14" s="47" t="s">
        <v>377</v>
      </c>
      <c r="C14" s="34" t="s">
        <v>358</v>
      </c>
      <c r="D14" s="38" t="s">
        <v>349</v>
      </c>
      <c r="E14" s="38">
        <v>24.7</v>
      </c>
      <c r="F14" s="38">
        <v>48.8</v>
      </c>
      <c r="G14" s="38">
        <v>64.599999999999994</v>
      </c>
      <c r="H14" s="38">
        <v>22.7</v>
      </c>
      <c r="I14" s="38">
        <v>24</v>
      </c>
      <c r="J14" s="35">
        <v>23.5</v>
      </c>
      <c r="K14" s="38">
        <v>88.7</v>
      </c>
      <c r="L14" s="38">
        <v>31</v>
      </c>
      <c r="M14" s="38">
        <v>74</v>
      </c>
      <c r="N14" s="44">
        <v>52.5</v>
      </c>
      <c r="O14" s="46"/>
      <c r="P14" s="64">
        <f>AVERAGE(N14,K14,J14,G14,F14,E14)</f>
        <v>50.466666666666661</v>
      </c>
      <c r="Q14" s="61">
        <v>29.3</v>
      </c>
      <c r="R14" s="61">
        <v>56.7</v>
      </c>
      <c r="S14" s="61">
        <v>57.1</v>
      </c>
      <c r="T14" s="61">
        <v>72.7</v>
      </c>
      <c r="U14" s="66">
        <f>AVERAGE(Q14:S14)</f>
        <v>47.699999999999996</v>
      </c>
      <c r="V14" s="69">
        <f>AVERAGE(U14,P14)</f>
        <v>49.083333333333329</v>
      </c>
      <c r="W14" s="69">
        <f>AVERAGE(E14,F14,G14,H14,K14,L14,Q14,S14)</f>
        <v>45.862500000000004</v>
      </c>
    </row>
    <row r="15" spans="1:23" ht="14" x14ac:dyDescent="0.2">
      <c r="A15" s="32"/>
      <c r="B15" s="47" t="s">
        <v>373</v>
      </c>
      <c r="C15" s="37" t="s">
        <v>21</v>
      </c>
      <c r="D15" s="38" t="s">
        <v>348</v>
      </c>
      <c r="E15" s="38">
        <v>57.6</v>
      </c>
      <c r="F15" s="38">
        <v>50</v>
      </c>
      <c r="G15" s="38">
        <v>65.8</v>
      </c>
      <c r="H15" s="38">
        <v>62.6</v>
      </c>
      <c r="I15" s="38">
        <v>64.3</v>
      </c>
      <c r="J15" s="35">
        <v>63.6</v>
      </c>
      <c r="K15" s="38">
        <v>75</v>
      </c>
      <c r="L15" s="38">
        <v>17</v>
      </c>
      <c r="M15" s="38">
        <v>82</v>
      </c>
      <c r="N15" s="44">
        <v>49.5</v>
      </c>
      <c r="O15" s="46"/>
      <c r="P15" s="64">
        <f t="shared" si="0"/>
        <v>60.25</v>
      </c>
      <c r="Q15" s="61">
        <v>6</v>
      </c>
      <c r="R15" s="61">
        <v>41.3</v>
      </c>
      <c r="S15" s="61">
        <v>14.3</v>
      </c>
      <c r="T15" s="61">
        <v>46</v>
      </c>
      <c r="U15" s="66">
        <f t="shared" ref="U15:U16" si="10">AVERAGE(Q15:S15)</f>
        <v>20.533333333333331</v>
      </c>
      <c r="V15" s="69">
        <f t="shared" ref="V15:V16" si="11">AVERAGE(U15,P15)</f>
        <v>40.391666666666666</v>
      </c>
      <c r="W15" s="69">
        <f t="shared" si="4"/>
        <v>43.537500000000001</v>
      </c>
    </row>
    <row r="16" spans="1:23" ht="14" x14ac:dyDescent="0.2">
      <c r="A16" s="32" t="s">
        <v>354</v>
      </c>
      <c r="B16" s="47" t="s">
        <v>362</v>
      </c>
      <c r="C16" s="37" t="s">
        <v>358</v>
      </c>
      <c r="D16" s="38" t="s">
        <v>349</v>
      </c>
      <c r="E16" s="38">
        <v>59.8</v>
      </c>
      <c r="F16" s="38">
        <v>12.8</v>
      </c>
      <c r="G16" s="38">
        <v>42.5</v>
      </c>
      <c r="H16" s="38">
        <v>5.9</v>
      </c>
      <c r="I16" s="38">
        <v>6</v>
      </c>
      <c r="J16" s="38">
        <v>5.9</v>
      </c>
      <c r="K16" s="38">
        <v>72.5</v>
      </c>
      <c r="L16" s="38">
        <v>25</v>
      </c>
      <c r="M16" s="39">
        <v>92</v>
      </c>
      <c r="N16" s="44">
        <v>58.5</v>
      </c>
      <c r="O16" s="46">
        <f>AVERAGE(E16:L16)</f>
        <v>28.8</v>
      </c>
      <c r="P16" s="64">
        <f t="shared" si="0"/>
        <v>42</v>
      </c>
      <c r="Q16" s="61">
        <v>18.8</v>
      </c>
      <c r="R16" s="61">
        <v>48</v>
      </c>
      <c r="S16" s="61">
        <v>29</v>
      </c>
      <c r="T16" s="61">
        <v>58.2</v>
      </c>
      <c r="U16" s="66">
        <f t="shared" si="10"/>
        <v>31.933333333333334</v>
      </c>
      <c r="V16" s="69">
        <f t="shared" si="11"/>
        <v>36.966666666666669</v>
      </c>
      <c r="W16" s="69">
        <f t="shared" si="4"/>
        <v>33.287500000000001</v>
      </c>
    </row>
    <row r="17" spans="1:23" ht="14" x14ac:dyDescent="0.2">
      <c r="A17" s="32" t="s">
        <v>355</v>
      </c>
      <c r="B17" s="47" t="s">
        <v>361</v>
      </c>
      <c r="C17" s="37" t="s">
        <v>358</v>
      </c>
      <c r="D17" s="38" t="s">
        <v>349</v>
      </c>
      <c r="E17" s="38">
        <v>36.799999999999997</v>
      </c>
      <c r="F17" s="38">
        <v>16</v>
      </c>
      <c r="G17" s="38">
        <v>57.1</v>
      </c>
      <c r="H17" s="38">
        <v>6.2</v>
      </c>
      <c r="I17" s="38">
        <v>6.2</v>
      </c>
      <c r="J17" s="38">
        <v>6.2</v>
      </c>
      <c r="K17" s="38">
        <v>71.8</v>
      </c>
      <c r="L17" s="38">
        <v>16</v>
      </c>
      <c r="M17" s="38">
        <v>88</v>
      </c>
      <c r="N17" s="44">
        <v>52</v>
      </c>
      <c r="O17" s="46">
        <f>AVERAGE(E17:L17)</f>
        <v>27.037500000000001</v>
      </c>
      <c r="P17" s="64">
        <f t="shared" si="0"/>
        <v>39.983333333333327</v>
      </c>
      <c r="Q17" s="61"/>
      <c r="R17" s="61"/>
      <c r="S17" s="61"/>
      <c r="T17" s="61"/>
      <c r="U17" s="66"/>
      <c r="V17" s="69"/>
      <c r="W17" s="69"/>
    </row>
    <row r="18" spans="1:23" ht="14" x14ac:dyDescent="0.2">
      <c r="A18" s="32" t="s">
        <v>356</v>
      </c>
      <c r="B18" s="47" t="s">
        <v>363</v>
      </c>
      <c r="C18" s="37" t="s">
        <v>358</v>
      </c>
      <c r="D18" s="38" t="s">
        <v>349</v>
      </c>
      <c r="E18" s="38">
        <v>61.7</v>
      </c>
      <c r="F18" s="38">
        <v>5.4</v>
      </c>
      <c r="G18" s="38">
        <v>45</v>
      </c>
      <c r="H18" s="38">
        <v>3.1</v>
      </c>
      <c r="I18" s="38">
        <v>3.1</v>
      </c>
      <c r="J18" s="38">
        <f t="shared" ref="J18" si="12">H18</f>
        <v>3.1</v>
      </c>
      <c r="K18" s="38">
        <v>65.2</v>
      </c>
      <c r="L18" s="38">
        <v>22</v>
      </c>
      <c r="M18" s="38">
        <v>91</v>
      </c>
      <c r="N18" s="44">
        <v>56.5</v>
      </c>
      <c r="O18" s="46">
        <f>AVERAGE(E18:L18)</f>
        <v>26.074999999999999</v>
      </c>
      <c r="P18" s="64">
        <f t="shared" si="0"/>
        <v>39.483333333333341</v>
      </c>
      <c r="Q18" s="61"/>
      <c r="R18" s="61"/>
      <c r="S18" s="61"/>
      <c r="T18" s="61"/>
      <c r="U18" s="66"/>
      <c r="V18" s="69"/>
      <c r="W18" s="69"/>
    </row>
    <row r="19" spans="1:23" ht="14" x14ac:dyDescent="0.2">
      <c r="A19" s="32"/>
      <c r="B19" s="47" t="s">
        <v>376</v>
      </c>
      <c r="C19" s="34" t="s">
        <v>360</v>
      </c>
      <c r="D19" s="38" t="s">
        <v>349</v>
      </c>
      <c r="E19" s="38">
        <v>15.9</v>
      </c>
      <c r="F19" s="38">
        <v>47.6</v>
      </c>
      <c r="G19" s="38">
        <v>36.1</v>
      </c>
      <c r="H19" s="38">
        <v>14.7</v>
      </c>
      <c r="I19" s="38">
        <v>16.399999999999999</v>
      </c>
      <c r="J19" s="35">
        <v>15.7</v>
      </c>
      <c r="K19" s="38">
        <v>100</v>
      </c>
      <c r="L19" s="38">
        <v>3</v>
      </c>
      <c r="M19" s="38">
        <v>6</v>
      </c>
      <c r="N19" s="44">
        <v>4.5</v>
      </c>
      <c r="O19" s="46"/>
      <c r="P19" s="64">
        <f t="shared" si="0"/>
        <v>36.633333333333333</v>
      </c>
      <c r="Q19" s="61"/>
      <c r="R19" s="61"/>
      <c r="S19" s="61"/>
      <c r="T19" s="61"/>
      <c r="U19" s="66"/>
      <c r="V19" s="69"/>
      <c r="W19" s="69"/>
    </row>
    <row r="20" spans="1:23" ht="14" x14ac:dyDescent="0.2">
      <c r="A20" s="33" t="s">
        <v>357</v>
      </c>
      <c r="B20" s="48" t="s">
        <v>364</v>
      </c>
      <c r="C20" s="37" t="s">
        <v>358</v>
      </c>
      <c r="D20" s="40" t="s">
        <v>349</v>
      </c>
      <c r="E20" s="40">
        <v>29.6</v>
      </c>
      <c r="F20" s="40">
        <v>21.8</v>
      </c>
      <c r="G20" s="40">
        <v>54.5</v>
      </c>
      <c r="H20" s="40">
        <v>3.2</v>
      </c>
      <c r="I20" s="40">
        <v>3.2</v>
      </c>
      <c r="J20" s="38">
        <v>3.2</v>
      </c>
      <c r="K20" s="40">
        <v>74.8</v>
      </c>
      <c r="L20" s="38">
        <v>11</v>
      </c>
      <c r="M20" s="38">
        <v>54</v>
      </c>
      <c r="N20" s="44">
        <v>32.5</v>
      </c>
      <c r="O20" s="46">
        <f>AVERAGE(E20:L20)</f>
        <v>25.162500000000001</v>
      </c>
      <c r="P20" s="64">
        <f t="shared" si="0"/>
        <v>36.06666666666667</v>
      </c>
      <c r="Q20" s="61"/>
      <c r="R20" s="61"/>
      <c r="S20" s="61"/>
      <c r="T20" s="61"/>
      <c r="U20" s="66"/>
      <c r="V20" s="69"/>
      <c r="W20" s="69"/>
    </row>
    <row r="21" spans="1:23" ht="15" thickBot="1" x14ac:dyDescent="0.25">
      <c r="A21" s="32"/>
      <c r="B21" s="55" t="s">
        <v>365</v>
      </c>
      <c r="C21" s="56" t="s">
        <v>358</v>
      </c>
      <c r="D21" s="42" t="s">
        <v>349</v>
      </c>
      <c r="E21" s="42">
        <v>28.8</v>
      </c>
      <c r="F21" s="42">
        <v>6</v>
      </c>
      <c r="G21" s="42">
        <v>45.4</v>
      </c>
      <c r="H21" s="42">
        <v>5.5</v>
      </c>
      <c r="I21" s="42">
        <v>5.5</v>
      </c>
      <c r="J21" s="42">
        <v>5.5</v>
      </c>
      <c r="K21" s="42">
        <v>80.599999999999994</v>
      </c>
      <c r="L21" s="42">
        <v>17</v>
      </c>
      <c r="M21" s="42">
        <v>92</v>
      </c>
      <c r="N21" s="57">
        <v>54.5</v>
      </c>
      <c r="O21" s="58">
        <f>AVERAGE(E21:L21)</f>
        <v>24.287499999999998</v>
      </c>
      <c r="P21" s="53">
        <f t="shared" si="0"/>
        <v>36.800000000000004</v>
      </c>
      <c r="Q21" s="62"/>
      <c r="R21" s="62"/>
      <c r="S21" s="62"/>
      <c r="T21" s="62"/>
      <c r="U21" s="67"/>
      <c r="V21" s="70"/>
      <c r="W21" s="70"/>
    </row>
    <row r="23" spans="1:23" ht="15.75" customHeight="1" x14ac:dyDescent="0.2">
      <c r="C23" s="83" t="s">
        <v>391</v>
      </c>
      <c r="D23" s="84" t="s">
        <v>392</v>
      </c>
    </row>
    <row r="24" spans="1:23" ht="15.75" customHeight="1" x14ac:dyDescent="0.15">
      <c r="C24" s="82" t="s">
        <v>386</v>
      </c>
      <c r="D24" s="84" t="s">
        <v>390</v>
      </c>
    </row>
    <row r="25" spans="1:23" ht="15.75" customHeight="1" x14ac:dyDescent="0.15">
      <c r="C25" s="82" t="s">
        <v>394</v>
      </c>
      <c r="D25" s="85" t="s">
        <v>395</v>
      </c>
    </row>
  </sheetData>
  <mergeCells count="22">
    <mergeCell ref="W1:W4"/>
    <mergeCell ref="A2:A4"/>
    <mergeCell ref="B2:B4"/>
    <mergeCell ref="O2:O4"/>
    <mergeCell ref="H2:J2"/>
    <mergeCell ref="H3:J3"/>
    <mergeCell ref="C2:C4"/>
    <mergeCell ref="D2:D4"/>
    <mergeCell ref="G3:G4"/>
    <mergeCell ref="F3:F4"/>
    <mergeCell ref="E3:E4"/>
    <mergeCell ref="L2:N2"/>
    <mergeCell ref="L3:N3"/>
    <mergeCell ref="K3:K4"/>
    <mergeCell ref="U3:U4"/>
    <mergeCell ref="Q2:U2"/>
    <mergeCell ref="P2:P4"/>
    <mergeCell ref="C1:P1"/>
    <mergeCell ref="Q1:U1"/>
    <mergeCell ref="V1:V4"/>
    <mergeCell ref="Q3:R3"/>
    <mergeCell ref="S3:T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31"/>
  <sheetViews>
    <sheetView workbookViewId="0"/>
  </sheetViews>
  <sheetFormatPr baseColWidth="10" defaultColWidth="12.6640625" defaultRowHeight="15.75" customHeight="1" x14ac:dyDescent="0.15"/>
  <cols>
    <col min="1" max="1" width="41.6640625" customWidth="1"/>
    <col min="2" max="2" width="29.33203125" customWidth="1"/>
    <col min="3" max="3" width="32.83203125" customWidth="1"/>
    <col min="4" max="4" width="26.6640625" customWidth="1"/>
    <col min="5" max="5" width="28.1640625" customWidth="1"/>
    <col min="6" max="6" width="26.1640625" customWidth="1"/>
    <col min="7" max="7" width="21" customWidth="1"/>
  </cols>
  <sheetData>
    <row r="1" spans="1:8" ht="14" x14ac:dyDescent="0.1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ht="14" x14ac:dyDescent="0.15">
      <c r="A2" s="3" t="s">
        <v>15</v>
      </c>
      <c r="B2" s="4">
        <v>90.83</v>
      </c>
      <c r="C2" s="5">
        <v>83.2</v>
      </c>
      <c r="D2" s="5">
        <v>74.349999999999994</v>
      </c>
      <c r="E2" s="5">
        <v>43.1</v>
      </c>
      <c r="F2" s="5">
        <v>90.66</v>
      </c>
      <c r="G2" s="4">
        <v>36</v>
      </c>
      <c r="H2" s="5">
        <f t="shared" ref="H2:H22" si="0">AVERAGE(B2:G2)</f>
        <v>69.69</v>
      </c>
    </row>
    <row r="3" spans="1:8" ht="14" x14ac:dyDescent="0.15">
      <c r="A3" s="6" t="s">
        <v>16</v>
      </c>
      <c r="B3" s="5">
        <v>91</v>
      </c>
      <c r="C3" s="4">
        <v>75.2</v>
      </c>
      <c r="D3" s="4">
        <v>72.849999999999994</v>
      </c>
      <c r="E3" s="4">
        <v>35.65</v>
      </c>
      <c r="F3" s="4">
        <v>86.07</v>
      </c>
      <c r="G3" s="5">
        <v>42</v>
      </c>
      <c r="H3" s="4">
        <f t="shared" si="0"/>
        <v>67.12833333333333</v>
      </c>
    </row>
    <row r="4" spans="1:8" ht="14" x14ac:dyDescent="0.15">
      <c r="A4" s="3" t="s">
        <v>30</v>
      </c>
      <c r="B4" s="4">
        <v>85.7</v>
      </c>
      <c r="C4" s="4">
        <v>76</v>
      </c>
      <c r="D4" s="4">
        <v>71.599999999999994</v>
      </c>
      <c r="E4" s="4">
        <v>32.595599999999997</v>
      </c>
      <c r="F4" s="4">
        <v>85.416700000000006</v>
      </c>
      <c r="G4" s="4">
        <v>39</v>
      </c>
      <c r="H4" s="4">
        <f t="shared" si="0"/>
        <v>65.052049999999994</v>
      </c>
    </row>
    <row r="5" spans="1:8" ht="14" x14ac:dyDescent="0.15">
      <c r="A5" s="3" t="s">
        <v>31</v>
      </c>
      <c r="B5" s="4">
        <v>82.5</v>
      </c>
      <c r="C5" s="4">
        <v>76.2</v>
      </c>
      <c r="D5" s="4">
        <v>71.2</v>
      </c>
      <c r="E5" s="4">
        <v>28.4312</v>
      </c>
      <c r="F5" s="4">
        <v>85.431200000000004</v>
      </c>
      <c r="G5" s="4">
        <v>31</v>
      </c>
      <c r="H5" s="4">
        <f t="shared" si="0"/>
        <v>62.460399999999993</v>
      </c>
    </row>
    <row r="6" spans="1:8" ht="14" x14ac:dyDescent="0.15">
      <c r="A6" s="6" t="s">
        <v>32</v>
      </c>
      <c r="B6" s="4">
        <v>89.1</v>
      </c>
      <c r="C6" s="4">
        <v>62.2</v>
      </c>
      <c r="D6" s="4">
        <v>71.400000000000006</v>
      </c>
      <c r="E6" s="4">
        <v>34.15</v>
      </c>
      <c r="F6" s="4">
        <v>87</v>
      </c>
      <c r="G6" s="4">
        <v>31</v>
      </c>
      <c r="H6" s="4">
        <f t="shared" si="0"/>
        <v>62.475000000000001</v>
      </c>
    </row>
    <row r="7" spans="1:8" ht="14" x14ac:dyDescent="0.15">
      <c r="A7" s="7" t="s">
        <v>18</v>
      </c>
      <c r="B7" s="8">
        <v>86.6</v>
      </c>
      <c r="C7" s="8">
        <v>56.4</v>
      </c>
      <c r="D7" s="8">
        <v>70.400000000000006</v>
      </c>
      <c r="E7" s="8">
        <v>22.7</v>
      </c>
      <c r="F7" s="8">
        <v>83.7</v>
      </c>
      <c r="G7" s="8">
        <v>31</v>
      </c>
      <c r="H7" s="4">
        <f t="shared" si="0"/>
        <v>58.466666666666669</v>
      </c>
    </row>
    <row r="8" spans="1:8" ht="14" x14ac:dyDescent="0.15">
      <c r="A8" s="3" t="s">
        <v>33</v>
      </c>
      <c r="B8" s="4">
        <v>85.2333</v>
      </c>
      <c r="C8" s="4">
        <v>51.6</v>
      </c>
      <c r="D8" s="4">
        <v>71.3</v>
      </c>
      <c r="E8" s="4">
        <v>20.1952</v>
      </c>
      <c r="F8" s="4">
        <v>84.729200000000006</v>
      </c>
      <c r="G8" s="4">
        <v>35</v>
      </c>
      <c r="H8" s="4">
        <f t="shared" si="0"/>
        <v>58.009616666666666</v>
      </c>
    </row>
    <row r="9" spans="1:8" ht="14" x14ac:dyDescent="0.15">
      <c r="A9" s="3" t="s">
        <v>34</v>
      </c>
      <c r="B9" s="4">
        <v>73.33</v>
      </c>
      <c r="C9" s="4">
        <v>47.6</v>
      </c>
      <c r="D9" s="4">
        <v>69</v>
      </c>
      <c r="E9" s="4">
        <v>41.22</v>
      </c>
      <c r="F9" s="4">
        <v>87.56</v>
      </c>
      <c r="G9" s="4">
        <v>19</v>
      </c>
      <c r="H9" s="4">
        <f t="shared" si="0"/>
        <v>56.285000000000004</v>
      </c>
    </row>
    <row r="10" spans="1:8" ht="14" x14ac:dyDescent="0.15">
      <c r="A10" s="3" t="s">
        <v>35</v>
      </c>
      <c r="B10" s="4">
        <v>81.566699999999997</v>
      </c>
      <c r="C10" s="4">
        <v>48.8</v>
      </c>
      <c r="D10" s="4">
        <v>70.25</v>
      </c>
      <c r="E10" s="4">
        <v>20.07</v>
      </c>
      <c r="F10" s="4">
        <v>81.781000000000006</v>
      </c>
      <c r="G10" s="4">
        <v>20</v>
      </c>
      <c r="H10" s="4">
        <f t="shared" si="0"/>
        <v>53.744616666666666</v>
      </c>
    </row>
    <row r="11" spans="1:8" ht="14" x14ac:dyDescent="0.15">
      <c r="A11" s="6" t="s">
        <v>19</v>
      </c>
      <c r="B11" s="4">
        <v>79</v>
      </c>
      <c r="C11" s="4">
        <v>51.6</v>
      </c>
      <c r="D11" s="4">
        <v>65.05</v>
      </c>
      <c r="E11" s="4">
        <v>13.4445</v>
      </c>
      <c r="F11" s="4">
        <v>78.498999999999995</v>
      </c>
      <c r="G11" s="4">
        <v>30</v>
      </c>
      <c r="H11" s="4">
        <f t="shared" si="0"/>
        <v>52.932249999999989</v>
      </c>
    </row>
    <row r="12" spans="1:8" ht="14" x14ac:dyDescent="0.15">
      <c r="A12" s="3" t="s">
        <v>27</v>
      </c>
      <c r="B12" s="4">
        <v>62</v>
      </c>
      <c r="C12" s="4">
        <v>48.4</v>
      </c>
      <c r="D12" s="4">
        <v>59.8</v>
      </c>
      <c r="E12" s="4">
        <v>45.9</v>
      </c>
      <c r="F12" s="4">
        <v>84</v>
      </c>
      <c r="G12" s="4">
        <v>15</v>
      </c>
      <c r="H12" s="4">
        <f t="shared" si="0"/>
        <v>52.516666666666673</v>
      </c>
    </row>
    <row r="13" spans="1:8" ht="14" x14ac:dyDescent="0.15">
      <c r="A13" s="3" t="s">
        <v>20</v>
      </c>
      <c r="B13" s="4">
        <v>50</v>
      </c>
      <c r="C13" s="4">
        <v>52.8</v>
      </c>
      <c r="D13" s="4">
        <v>67.5</v>
      </c>
      <c r="E13" s="4">
        <v>36.9</v>
      </c>
      <c r="F13" s="4">
        <v>82.8</v>
      </c>
      <c r="G13" s="4">
        <v>22</v>
      </c>
      <c r="H13" s="4">
        <f t="shared" si="0"/>
        <v>52</v>
      </c>
    </row>
    <row r="14" spans="1:8" ht="14" x14ac:dyDescent="0.15">
      <c r="A14" s="3" t="s">
        <v>36</v>
      </c>
      <c r="B14" s="4">
        <v>78.666700000000006</v>
      </c>
      <c r="C14" s="4">
        <v>35.799999999999997</v>
      </c>
      <c r="D14" s="4">
        <v>63.05</v>
      </c>
      <c r="E14" s="4">
        <v>15.0594</v>
      </c>
      <c r="F14" s="4">
        <v>84.724500000000006</v>
      </c>
      <c r="G14" s="4">
        <v>31</v>
      </c>
      <c r="H14" s="4">
        <f t="shared" si="0"/>
        <v>51.383433333333336</v>
      </c>
    </row>
    <row r="15" spans="1:8" ht="14" x14ac:dyDescent="0.15">
      <c r="A15" s="3" t="s">
        <v>37</v>
      </c>
      <c r="B15" s="4">
        <v>76</v>
      </c>
      <c r="C15" s="4">
        <v>30.4</v>
      </c>
      <c r="D15" s="4">
        <v>60</v>
      </c>
      <c r="E15" s="4">
        <v>11.1295</v>
      </c>
      <c r="F15" s="4">
        <v>70.139700000000005</v>
      </c>
      <c r="G15" s="4">
        <v>26</v>
      </c>
      <c r="H15" s="4">
        <f t="shared" si="0"/>
        <v>45.611533333333341</v>
      </c>
    </row>
    <row r="16" spans="1:8" ht="14" x14ac:dyDescent="0.15">
      <c r="A16" s="3" t="s">
        <v>38</v>
      </c>
      <c r="B16" s="4">
        <v>78.933300000000003</v>
      </c>
      <c r="C16" s="4">
        <v>31.6</v>
      </c>
      <c r="D16" s="4">
        <v>56.65</v>
      </c>
      <c r="E16" s="4">
        <v>11.0761</v>
      </c>
      <c r="F16" s="4">
        <v>63.805900000000001</v>
      </c>
      <c r="G16" s="4">
        <v>22</v>
      </c>
      <c r="H16" s="4">
        <f t="shared" si="0"/>
        <v>44.010883333333332</v>
      </c>
    </row>
    <row r="17" spans="1:11" ht="14" x14ac:dyDescent="0.15">
      <c r="A17" s="3" t="s">
        <v>39</v>
      </c>
      <c r="B17" s="4">
        <v>76.333299999999994</v>
      </c>
      <c r="C17" s="4">
        <v>33.799999999999997</v>
      </c>
      <c r="D17" s="4">
        <v>56.6</v>
      </c>
      <c r="E17" s="4">
        <v>6.5612000000000004</v>
      </c>
      <c r="F17" s="4">
        <v>71.855199999999996</v>
      </c>
      <c r="G17" s="4">
        <v>17</v>
      </c>
      <c r="H17" s="4">
        <f t="shared" si="0"/>
        <v>43.691616666666668</v>
      </c>
    </row>
    <row r="18" spans="1:11" ht="14" x14ac:dyDescent="0.15">
      <c r="A18" s="3" t="s">
        <v>40</v>
      </c>
      <c r="B18" s="4">
        <v>78.900000000000006</v>
      </c>
      <c r="C18" s="4">
        <v>22.8</v>
      </c>
      <c r="D18" s="4">
        <v>57.55</v>
      </c>
      <c r="E18" s="4">
        <v>5.99</v>
      </c>
      <c r="F18" s="4">
        <v>73.046000000000006</v>
      </c>
      <c r="G18" s="4">
        <v>19</v>
      </c>
      <c r="H18" s="4">
        <f t="shared" si="0"/>
        <v>42.881</v>
      </c>
    </row>
    <row r="19" spans="1:11" ht="14" x14ac:dyDescent="0.15">
      <c r="A19" s="3" t="s">
        <v>41</v>
      </c>
      <c r="B19" s="4">
        <v>79.099999999999994</v>
      </c>
      <c r="C19" s="4">
        <v>19.399999999999999</v>
      </c>
      <c r="D19" s="4">
        <v>54.1</v>
      </c>
      <c r="E19" s="4">
        <v>6.9508000000000001</v>
      </c>
      <c r="F19" s="4">
        <v>80.298599999999993</v>
      </c>
      <c r="G19" s="4">
        <v>17</v>
      </c>
      <c r="H19" s="4">
        <f t="shared" si="0"/>
        <v>42.808233333333327</v>
      </c>
    </row>
    <row r="20" spans="1:11" ht="14" x14ac:dyDescent="0.15">
      <c r="A20" s="9" t="s">
        <v>42</v>
      </c>
      <c r="B20" s="10">
        <v>77.7</v>
      </c>
      <c r="C20" s="10">
        <v>15.4</v>
      </c>
      <c r="D20" s="10">
        <v>56.85</v>
      </c>
      <c r="E20" s="10">
        <v>6.8867000000000003</v>
      </c>
      <c r="F20" s="10">
        <v>72.17</v>
      </c>
      <c r="G20" s="10">
        <v>19</v>
      </c>
      <c r="H20" s="4">
        <f t="shared" si="0"/>
        <v>41.334450000000004</v>
      </c>
    </row>
    <row r="21" spans="1:11" ht="14" x14ac:dyDescent="0.15">
      <c r="A21" s="3" t="s">
        <v>43</v>
      </c>
      <c r="B21" s="4">
        <v>75.7</v>
      </c>
      <c r="C21" s="4">
        <v>11.8</v>
      </c>
      <c r="D21" s="4">
        <v>48.9</v>
      </c>
      <c r="E21" s="4">
        <v>5.5023</v>
      </c>
      <c r="F21" s="4">
        <v>82.592200000000005</v>
      </c>
      <c r="G21" s="4">
        <v>16</v>
      </c>
      <c r="H21" s="4">
        <f t="shared" si="0"/>
        <v>40.082416666666667</v>
      </c>
    </row>
    <row r="22" spans="1:11" ht="14" x14ac:dyDescent="0.15">
      <c r="A22" s="3" t="s">
        <v>44</v>
      </c>
      <c r="B22" s="4">
        <v>71.8</v>
      </c>
      <c r="C22" s="4">
        <v>16.399999999999999</v>
      </c>
      <c r="D22" s="4">
        <v>42.7714</v>
      </c>
      <c r="E22" s="4">
        <v>6</v>
      </c>
      <c r="F22" s="4">
        <v>74.015000000000001</v>
      </c>
      <c r="G22" s="4">
        <v>24</v>
      </c>
      <c r="H22" s="4">
        <f t="shared" si="0"/>
        <v>39.164400000000001</v>
      </c>
    </row>
    <row r="23" spans="1:11" ht="14" hidden="1" x14ac:dyDescent="0.15">
      <c r="A23" s="3" t="s">
        <v>22</v>
      </c>
      <c r="B23" s="4">
        <v>64.099999999999994</v>
      </c>
      <c r="C23" s="4"/>
      <c r="D23" s="4">
        <v>0.25</v>
      </c>
      <c r="E23" s="4"/>
      <c r="F23" s="4">
        <v>64.400000000000006</v>
      </c>
      <c r="G23" s="4"/>
      <c r="H23" s="4"/>
    </row>
    <row r="24" spans="1:11" ht="14" hidden="1" x14ac:dyDescent="0.15">
      <c r="A24" s="3" t="s">
        <v>23</v>
      </c>
      <c r="B24" s="4">
        <v>58.2</v>
      </c>
      <c r="C24" s="4">
        <v>29</v>
      </c>
      <c r="D24" s="4">
        <v>63.2</v>
      </c>
      <c r="E24" s="4">
        <v>1.3</v>
      </c>
      <c r="F24" s="4">
        <v>79.400000000000006</v>
      </c>
      <c r="G24" s="4">
        <v>2</v>
      </c>
      <c r="H24" s="4">
        <f t="shared" ref="H24:H30" si="1">AVERAGE(B24:G24)</f>
        <v>38.85</v>
      </c>
    </row>
    <row r="25" spans="1:11" ht="14" hidden="1" x14ac:dyDescent="0.15">
      <c r="A25" s="3" t="s">
        <v>24</v>
      </c>
      <c r="B25" s="4">
        <v>74.666700000000006</v>
      </c>
      <c r="C25" s="4">
        <v>5.6</v>
      </c>
      <c r="D25" s="4">
        <v>45.35</v>
      </c>
      <c r="E25" s="4">
        <v>4.8196000000000003</v>
      </c>
      <c r="F25" s="4">
        <v>79.598600000000005</v>
      </c>
      <c r="G25" s="4">
        <v>15</v>
      </c>
      <c r="H25" s="4">
        <f t="shared" si="1"/>
        <v>37.505816666666668</v>
      </c>
    </row>
    <row r="26" spans="1:11" ht="14" hidden="1" x14ac:dyDescent="0.15">
      <c r="A26" s="3" t="s">
        <v>25</v>
      </c>
      <c r="B26" s="4">
        <v>63</v>
      </c>
      <c r="C26" s="4">
        <v>14.8</v>
      </c>
      <c r="D26" s="4">
        <v>49.2</v>
      </c>
      <c r="E26" s="4">
        <v>11.6</v>
      </c>
      <c r="F26" s="4">
        <v>66.3</v>
      </c>
      <c r="G26" s="4">
        <v>13</v>
      </c>
      <c r="H26" s="4">
        <f t="shared" si="1"/>
        <v>36.316666666666663</v>
      </c>
    </row>
    <row r="27" spans="1:11" ht="14" hidden="1" x14ac:dyDescent="0.15">
      <c r="A27" s="3" t="s">
        <v>26</v>
      </c>
      <c r="B27" s="4">
        <v>35.4</v>
      </c>
      <c r="C27" s="4">
        <v>41</v>
      </c>
      <c r="D27" s="4">
        <v>43.3</v>
      </c>
      <c r="E27" s="4">
        <v>0.79</v>
      </c>
      <c r="F27" s="4">
        <v>59.73</v>
      </c>
      <c r="G27" s="4">
        <v>2</v>
      </c>
      <c r="H27" s="4">
        <f t="shared" si="1"/>
        <v>30.37</v>
      </c>
    </row>
    <row r="28" spans="1:11" ht="14" x14ac:dyDescent="0.15">
      <c r="A28" s="11" t="s">
        <v>28</v>
      </c>
      <c r="B28" s="12">
        <v>59.4</v>
      </c>
      <c r="C28" s="12">
        <v>8.4</v>
      </c>
      <c r="D28" s="12">
        <v>21.3</v>
      </c>
      <c r="E28" s="12">
        <v>4.5</v>
      </c>
      <c r="F28" s="12">
        <v>58.4</v>
      </c>
      <c r="G28" s="12">
        <v>12</v>
      </c>
      <c r="H28" s="4">
        <f t="shared" si="1"/>
        <v>27.333333333333332</v>
      </c>
    </row>
    <row r="29" spans="1:11" ht="14" x14ac:dyDescent="0.15">
      <c r="A29" s="3" t="s">
        <v>22</v>
      </c>
      <c r="B29" s="4">
        <v>59.4</v>
      </c>
      <c r="C29" s="4">
        <v>0</v>
      </c>
      <c r="D29" s="4">
        <v>21.3</v>
      </c>
      <c r="E29" s="4">
        <v>0</v>
      </c>
      <c r="F29" s="4">
        <v>64.400000000000006</v>
      </c>
      <c r="G29" s="4">
        <v>0</v>
      </c>
      <c r="H29" s="4">
        <f t="shared" si="1"/>
        <v>24.183333333333337</v>
      </c>
    </row>
    <row r="30" spans="1:11" ht="14" x14ac:dyDescent="0.15">
      <c r="A30" s="3" t="s">
        <v>29</v>
      </c>
      <c r="B30" s="4">
        <v>34.9</v>
      </c>
      <c r="C30" s="4">
        <v>2.8</v>
      </c>
      <c r="D30" s="4">
        <v>1.3</v>
      </c>
      <c r="E30" s="4">
        <v>0.1</v>
      </c>
      <c r="F30" s="4">
        <v>58.5</v>
      </c>
      <c r="G30" s="4">
        <v>7</v>
      </c>
      <c r="H30" s="4">
        <f t="shared" si="1"/>
        <v>17.433333333333334</v>
      </c>
    </row>
    <row r="31" spans="1:11" ht="30" x14ac:dyDescent="0.15">
      <c r="A31" s="13"/>
      <c r="B31" s="14" t="s">
        <v>9</v>
      </c>
      <c r="C31" s="15" t="s">
        <v>10</v>
      </c>
      <c r="D31" s="15" t="s">
        <v>11</v>
      </c>
      <c r="E31" s="15" t="s">
        <v>12</v>
      </c>
      <c r="F31" s="16" t="s">
        <v>13</v>
      </c>
      <c r="G31" s="16" t="s">
        <v>14</v>
      </c>
      <c r="H31" s="2"/>
      <c r="I31" s="783"/>
      <c r="J31" s="784"/>
      <c r="K31" s="784"/>
    </row>
  </sheetData>
  <mergeCells count="1">
    <mergeCell ref="I31:K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>
      <selection activeCell="D3" sqref="D3"/>
    </sheetView>
  </sheetViews>
  <sheetFormatPr baseColWidth="10" defaultColWidth="12.6640625" defaultRowHeight="15.75" customHeight="1" x14ac:dyDescent="0.15"/>
  <cols>
    <col min="1" max="1" width="19.5" customWidth="1"/>
    <col min="2" max="2" width="30.33203125" customWidth="1"/>
    <col min="3" max="3" width="28.5" customWidth="1"/>
    <col min="4" max="4" width="29.33203125" customWidth="1"/>
    <col min="5" max="5" width="31.1640625" customWidth="1"/>
  </cols>
  <sheetData>
    <row r="1" spans="1:5" ht="15.75" customHeight="1" x14ac:dyDescent="0.15">
      <c r="A1" s="17" t="s">
        <v>0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ht="15.75" customHeight="1" x14ac:dyDescent="0.15">
      <c r="A2" s="18" t="s">
        <v>49</v>
      </c>
      <c r="B2" s="19">
        <v>98.75</v>
      </c>
      <c r="C2" s="19">
        <v>95.6</v>
      </c>
      <c r="D2" s="19">
        <v>93.7</v>
      </c>
      <c r="E2" s="19">
        <v>88.49</v>
      </c>
    </row>
    <row r="3" spans="1:5" ht="15.75" customHeight="1" x14ac:dyDescent="0.15">
      <c r="A3" s="18" t="s">
        <v>50</v>
      </c>
      <c r="B3" s="19">
        <v>93.75</v>
      </c>
      <c r="C3" s="19">
        <v>92.4</v>
      </c>
      <c r="D3" s="19">
        <v>91.45</v>
      </c>
      <c r="E3" s="19">
        <v>87</v>
      </c>
    </row>
    <row r="4" spans="1:5" ht="15.75" customHeight="1" x14ac:dyDescent="0.15">
      <c r="A4" s="19" t="s">
        <v>51</v>
      </c>
      <c r="B4" s="19">
        <v>97.5</v>
      </c>
      <c r="C4" s="19">
        <v>94.8</v>
      </c>
      <c r="D4" s="19">
        <v>93.5</v>
      </c>
      <c r="E4" s="19">
        <v>88.61</v>
      </c>
    </row>
    <row r="5" spans="1:5" ht="15.75" customHeight="1" x14ac:dyDescent="0.15">
      <c r="A5" s="19" t="s">
        <v>17</v>
      </c>
      <c r="B5" s="19">
        <v>97.5</v>
      </c>
      <c r="C5" s="19">
        <v>95.8</v>
      </c>
      <c r="D5" s="19">
        <v>94.35</v>
      </c>
      <c r="E5" s="19">
        <v>90.33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8"/>
  <sheetViews>
    <sheetView workbookViewId="0"/>
  </sheetViews>
  <sheetFormatPr baseColWidth="10" defaultColWidth="12.6640625" defaultRowHeight="15.75" customHeight="1" x14ac:dyDescent="0.15"/>
  <cols>
    <col min="1" max="1" width="17.83203125" customWidth="1"/>
    <col min="2" max="2" width="11.1640625" customWidth="1"/>
    <col min="3" max="3" width="12.1640625" customWidth="1"/>
    <col min="4" max="4" width="10.1640625" customWidth="1"/>
    <col min="6" max="6" width="9.1640625" customWidth="1"/>
    <col min="8" max="8" width="10" customWidth="1"/>
    <col min="10" max="10" width="11.1640625" customWidth="1"/>
    <col min="12" max="12" width="10.6640625" customWidth="1"/>
    <col min="13" max="13" width="15.1640625" customWidth="1"/>
  </cols>
  <sheetData>
    <row r="1" spans="1:13" ht="15.75" customHeight="1" x14ac:dyDescent="0.15">
      <c r="A1" s="17" t="s">
        <v>0</v>
      </c>
      <c r="B1" s="785" t="s">
        <v>52</v>
      </c>
      <c r="C1" s="784"/>
      <c r="D1" s="785" t="s">
        <v>53</v>
      </c>
      <c r="E1" s="784"/>
      <c r="F1" s="785" t="s">
        <v>54</v>
      </c>
      <c r="G1" s="784"/>
      <c r="H1" s="785" t="s">
        <v>55</v>
      </c>
      <c r="I1" s="784"/>
      <c r="J1" s="785" t="s">
        <v>56</v>
      </c>
      <c r="K1" s="784"/>
      <c r="L1" s="785" t="s">
        <v>57</v>
      </c>
      <c r="M1" s="784"/>
    </row>
    <row r="2" spans="1:13" ht="15.75" customHeight="1" x14ac:dyDescent="0.15">
      <c r="A2" s="20"/>
      <c r="B2" s="785" t="s">
        <v>58</v>
      </c>
      <c r="C2" s="784"/>
      <c r="D2" s="785" t="s">
        <v>11</v>
      </c>
      <c r="E2" s="784"/>
      <c r="F2" s="785" t="s">
        <v>13</v>
      </c>
      <c r="G2" s="784"/>
      <c r="H2" s="785" t="s">
        <v>59</v>
      </c>
      <c r="I2" s="784"/>
      <c r="J2" s="785" t="s">
        <v>14</v>
      </c>
      <c r="K2" s="784"/>
      <c r="L2" s="784"/>
      <c r="M2" s="784"/>
    </row>
    <row r="3" spans="1:13" ht="15.75" customHeight="1" x14ac:dyDescent="0.15">
      <c r="A3" s="20" t="s">
        <v>0</v>
      </c>
      <c r="B3" s="18" t="s">
        <v>60</v>
      </c>
      <c r="C3" s="18" t="s">
        <v>61</v>
      </c>
      <c r="D3" s="18" t="s">
        <v>60</v>
      </c>
      <c r="E3" s="18" t="s">
        <v>61</v>
      </c>
      <c r="F3" s="18" t="s">
        <v>60</v>
      </c>
      <c r="G3" s="18" t="s">
        <v>61</v>
      </c>
      <c r="H3" s="18" t="s">
        <v>60</v>
      </c>
      <c r="I3" s="18" t="s">
        <v>61</v>
      </c>
      <c r="J3" s="18" t="s">
        <v>60</v>
      </c>
      <c r="K3" s="18" t="s">
        <v>61</v>
      </c>
      <c r="L3" s="18" t="s">
        <v>60</v>
      </c>
      <c r="M3" s="18" t="s">
        <v>61</v>
      </c>
    </row>
    <row r="4" spans="1:13" ht="15.75" customHeight="1" x14ac:dyDescent="0.15">
      <c r="A4" s="17" t="s">
        <v>49</v>
      </c>
      <c r="B4" s="18">
        <v>71</v>
      </c>
      <c r="C4" s="18">
        <v>70.319999999999993</v>
      </c>
      <c r="D4" s="18">
        <v>72</v>
      </c>
      <c r="E4" s="18">
        <v>72.099999999999994</v>
      </c>
      <c r="F4" s="18">
        <v>1.31</v>
      </c>
      <c r="G4" s="18">
        <v>1.2486999999999999</v>
      </c>
      <c r="H4" s="18">
        <v>0.63880000000000003</v>
      </c>
      <c r="I4" s="18">
        <v>0.64790000000000003</v>
      </c>
      <c r="J4" s="18">
        <v>52</v>
      </c>
      <c r="K4" s="18">
        <v>48</v>
      </c>
      <c r="L4" s="18">
        <v>86</v>
      </c>
      <c r="M4" s="18">
        <v>82</v>
      </c>
    </row>
    <row r="5" spans="1:13" ht="15.75" customHeight="1" x14ac:dyDescent="0.15">
      <c r="A5" s="17" t="s">
        <v>50</v>
      </c>
      <c r="B5" s="18">
        <v>65.7</v>
      </c>
      <c r="C5" s="18">
        <v>57.56</v>
      </c>
      <c r="D5" s="18">
        <v>65.900000000000006</v>
      </c>
      <c r="E5" s="18">
        <v>65.959999999999994</v>
      </c>
      <c r="F5" s="18">
        <v>1.83</v>
      </c>
      <c r="G5" s="18">
        <v>1.95</v>
      </c>
      <c r="H5" s="18">
        <v>0.47199999999999998</v>
      </c>
      <c r="I5" s="18">
        <v>0.46899999999999997</v>
      </c>
      <c r="J5" s="18">
        <v>52</v>
      </c>
      <c r="K5" s="18">
        <v>42</v>
      </c>
      <c r="L5" s="18">
        <v>80</v>
      </c>
      <c r="M5" s="18">
        <v>70</v>
      </c>
    </row>
    <row r="6" spans="1:13" ht="15.75" customHeight="1" x14ac:dyDescent="0.15">
      <c r="A6" s="1" t="s">
        <v>51</v>
      </c>
      <c r="B6" s="19" t="s">
        <v>62</v>
      </c>
      <c r="C6" s="19">
        <v>77.34</v>
      </c>
      <c r="D6" s="19" t="s">
        <v>62</v>
      </c>
      <c r="E6" s="19">
        <v>71.599999999999994</v>
      </c>
      <c r="F6" s="19" t="s">
        <v>62</v>
      </c>
      <c r="G6" s="19">
        <v>1.2706</v>
      </c>
      <c r="H6" s="19" t="s">
        <v>62</v>
      </c>
      <c r="I6" s="19">
        <v>0.70459000000000005</v>
      </c>
      <c r="J6" s="18" t="s">
        <v>62</v>
      </c>
      <c r="K6" s="18">
        <v>60</v>
      </c>
      <c r="L6" s="18" t="s">
        <v>62</v>
      </c>
      <c r="M6" s="18">
        <v>82</v>
      </c>
    </row>
    <row r="7" spans="1:13" ht="15.75" customHeight="1" x14ac:dyDescent="0.15">
      <c r="A7" s="1" t="s">
        <v>17</v>
      </c>
      <c r="B7" s="19" t="s">
        <v>62</v>
      </c>
      <c r="C7" s="19">
        <v>82.56</v>
      </c>
      <c r="D7" s="19" t="s">
        <v>62</v>
      </c>
      <c r="E7" s="19">
        <v>74</v>
      </c>
      <c r="F7" s="19" t="s">
        <v>62</v>
      </c>
      <c r="G7" s="19">
        <v>0.90790000000000004</v>
      </c>
      <c r="H7" s="19" t="s">
        <v>62</v>
      </c>
      <c r="I7" s="19">
        <v>0.76</v>
      </c>
      <c r="J7" s="21" t="s">
        <v>62</v>
      </c>
      <c r="K7" s="19">
        <v>86</v>
      </c>
      <c r="L7" s="19" t="s">
        <v>62</v>
      </c>
      <c r="M7" s="19">
        <v>90</v>
      </c>
    </row>
    <row r="8" spans="1:13" ht="15.75" customHeight="1" x14ac:dyDescent="0.15">
      <c r="A8" s="1" t="s">
        <v>34</v>
      </c>
      <c r="B8" s="19"/>
      <c r="C8" s="19">
        <v>52.52</v>
      </c>
      <c r="D8" s="19"/>
      <c r="E8" s="19">
        <v>72.7</v>
      </c>
      <c r="F8" s="19"/>
      <c r="G8" s="19">
        <v>0.97250000000000003</v>
      </c>
      <c r="H8" s="19"/>
      <c r="I8" s="19">
        <v>0.21</v>
      </c>
    </row>
  </sheetData>
  <mergeCells count="11">
    <mergeCell ref="D2:E2"/>
    <mergeCell ref="F2:G2"/>
    <mergeCell ref="H2:I2"/>
    <mergeCell ref="J2:M2"/>
    <mergeCell ref="B1:C1"/>
    <mergeCell ref="D1:E1"/>
    <mergeCell ref="F1:G1"/>
    <mergeCell ref="H1:I1"/>
    <mergeCell ref="J1:K1"/>
    <mergeCell ref="L1:M1"/>
    <mergeCell ref="B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"/>
  <sheetViews>
    <sheetView workbookViewId="0"/>
  </sheetViews>
  <sheetFormatPr baseColWidth="10" defaultColWidth="12.6640625" defaultRowHeight="15.75" customHeight="1" x14ac:dyDescent="0.15"/>
  <cols>
    <col min="1" max="1" width="22.33203125" customWidth="1"/>
    <col min="2" max="2" width="27.6640625" customWidth="1"/>
    <col min="3" max="3" width="29.6640625" customWidth="1"/>
    <col min="4" max="4" width="17.33203125" customWidth="1"/>
    <col min="5" max="5" width="20.83203125" customWidth="1"/>
    <col min="6" max="6" width="17.5" customWidth="1"/>
    <col min="7" max="7" width="18.83203125" customWidth="1"/>
    <col min="8" max="8" width="24.1640625" customWidth="1"/>
    <col min="12" max="12" width="28.33203125" customWidth="1"/>
    <col min="13" max="13" width="18.83203125" customWidth="1"/>
    <col min="14" max="14" width="23.1640625" customWidth="1"/>
    <col min="15" max="15" width="19.33203125" customWidth="1"/>
    <col min="16" max="16" width="30.83203125" customWidth="1"/>
    <col min="17" max="18" width="16.6640625" customWidth="1"/>
    <col min="19" max="19" width="18.6640625" customWidth="1"/>
    <col min="20" max="20" width="21.33203125" customWidth="1"/>
  </cols>
  <sheetData>
    <row r="1" spans="1:20" ht="15.75" customHeight="1" x14ac:dyDescent="0.15">
      <c r="A1" s="17"/>
      <c r="B1" s="1" t="s">
        <v>63</v>
      </c>
      <c r="C1" s="783" t="s">
        <v>64</v>
      </c>
      <c r="D1" s="784"/>
      <c r="E1" s="784"/>
      <c r="F1" s="784"/>
      <c r="G1" s="784"/>
      <c r="H1" s="784"/>
      <c r="I1" s="784"/>
      <c r="J1" s="784"/>
      <c r="K1" s="784"/>
      <c r="L1" s="784"/>
      <c r="M1" s="786" t="s">
        <v>65</v>
      </c>
      <c r="N1" s="784"/>
      <c r="O1" s="784"/>
      <c r="P1" s="784"/>
      <c r="Q1" s="784"/>
      <c r="R1" s="784"/>
      <c r="S1" s="784"/>
      <c r="T1" s="784"/>
    </row>
    <row r="2" spans="1:20" ht="15.75" customHeight="1" x14ac:dyDescent="0.15">
      <c r="A2" s="17" t="s">
        <v>0</v>
      </c>
      <c r="B2" s="1"/>
      <c r="C2" s="1" t="s">
        <v>66</v>
      </c>
      <c r="D2" s="1" t="s">
        <v>67</v>
      </c>
      <c r="E2" s="1" t="s">
        <v>68</v>
      </c>
      <c r="F2" s="1" t="s">
        <v>69</v>
      </c>
      <c r="G2" s="1" t="s">
        <v>70</v>
      </c>
      <c r="H2" s="1" t="s">
        <v>71</v>
      </c>
      <c r="I2" s="1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  <c r="T2" s="1" t="s">
        <v>83</v>
      </c>
    </row>
    <row r="3" spans="1:20" ht="15.75" customHeight="1" x14ac:dyDescent="0.15">
      <c r="A3" s="17" t="s">
        <v>49</v>
      </c>
      <c r="B3" s="19">
        <v>0.81369999999999998</v>
      </c>
      <c r="C3" s="19">
        <v>0.68520000000000003</v>
      </c>
      <c r="D3" s="19">
        <v>0.95289999999999997</v>
      </c>
      <c r="E3" s="19" t="s">
        <v>84</v>
      </c>
      <c r="F3" s="19" t="s">
        <v>85</v>
      </c>
      <c r="G3" s="19">
        <v>0.83760000000000001</v>
      </c>
      <c r="H3" s="19">
        <v>0.83889999999999998</v>
      </c>
      <c r="I3" s="19">
        <v>0.91800000000000004</v>
      </c>
      <c r="J3" s="19">
        <v>0.87</v>
      </c>
      <c r="K3" s="19">
        <v>0.88729999999999998</v>
      </c>
      <c r="L3" s="19" t="s">
        <v>86</v>
      </c>
      <c r="M3" s="19">
        <v>0.88380000000000003</v>
      </c>
      <c r="N3" s="19" t="s">
        <v>87</v>
      </c>
      <c r="O3" s="19">
        <v>0.99</v>
      </c>
      <c r="P3" s="19" t="s">
        <v>88</v>
      </c>
      <c r="Q3" s="19">
        <v>0.9</v>
      </c>
      <c r="R3" s="19">
        <v>0.66769999999999996</v>
      </c>
      <c r="S3" s="19">
        <v>0.44230000000000003</v>
      </c>
      <c r="T3" s="19">
        <v>0.53849999999999998</v>
      </c>
    </row>
    <row r="4" spans="1:20" ht="15.75" customHeight="1" x14ac:dyDescent="0.15">
      <c r="A4" s="17" t="s">
        <v>50</v>
      </c>
      <c r="B4" s="19">
        <v>0.76380000000000003</v>
      </c>
      <c r="C4" s="19">
        <v>0.628</v>
      </c>
      <c r="D4" s="19">
        <v>0.94610000000000005</v>
      </c>
      <c r="E4" s="19" t="s">
        <v>89</v>
      </c>
      <c r="F4" s="19" t="s">
        <v>90</v>
      </c>
      <c r="G4" s="19">
        <v>0.72889999999999999</v>
      </c>
      <c r="H4" s="19">
        <v>0.71540000000000004</v>
      </c>
      <c r="I4" s="19">
        <v>0.88800000000000001</v>
      </c>
      <c r="J4" s="19">
        <v>0.83750000000000002</v>
      </c>
      <c r="K4" s="19">
        <v>0.83099999999999996</v>
      </c>
      <c r="L4" s="19" t="s">
        <v>91</v>
      </c>
      <c r="M4" s="19">
        <v>0.88529999999999998</v>
      </c>
      <c r="N4" s="19" t="s">
        <v>92</v>
      </c>
      <c r="O4" s="19">
        <v>0.99</v>
      </c>
      <c r="P4" s="19" t="s">
        <v>93</v>
      </c>
      <c r="Q4" s="19">
        <v>0.82310000000000005</v>
      </c>
      <c r="R4" s="19">
        <v>0.65049999999999997</v>
      </c>
      <c r="S4" s="19">
        <v>0.54810000000000003</v>
      </c>
      <c r="T4" s="19">
        <v>0.54810000000000003</v>
      </c>
    </row>
    <row r="5" spans="1:20" ht="15.75" customHeight="1" x14ac:dyDescent="0.15">
      <c r="A5" s="1" t="s">
        <v>51</v>
      </c>
      <c r="B5" s="19">
        <v>0.9093</v>
      </c>
      <c r="C5" s="19">
        <v>0.63170000000000004</v>
      </c>
      <c r="D5" s="19">
        <v>0.92659999999999998</v>
      </c>
      <c r="E5" s="19" t="s">
        <v>94</v>
      </c>
      <c r="F5" s="19" t="s">
        <v>95</v>
      </c>
      <c r="G5" s="19">
        <v>0.81410000000000005</v>
      </c>
      <c r="H5" s="19">
        <v>0.8</v>
      </c>
      <c r="I5" s="19">
        <v>0.9</v>
      </c>
      <c r="J5" s="19">
        <v>0.89529999999999998</v>
      </c>
      <c r="K5" s="19">
        <v>0.83</v>
      </c>
      <c r="L5" s="19" t="s">
        <v>96</v>
      </c>
      <c r="M5" s="20">
        <v>0.89170000000000005</v>
      </c>
      <c r="N5" s="20" t="s">
        <v>97</v>
      </c>
      <c r="O5" s="20">
        <v>1</v>
      </c>
      <c r="P5" s="20" t="s">
        <v>98</v>
      </c>
      <c r="Q5" s="19">
        <v>0.88800000000000001</v>
      </c>
      <c r="R5" s="20">
        <v>0.77270000000000005</v>
      </c>
      <c r="S5" s="20">
        <v>0.93259999999999998</v>
      </c>
      <c r="T5" s="20">
        <v>0.94230000000000003</v>
      </c>
    </row>
    <row r="6" spans="1:20" ht="15.75" customHeight="1" x14ac:dyDescent="0.15">
      <c r="A6" s="1" t="s">
        <v>17</v>
      </c>
      <c r="B6" s="19">
        <v>0.93389999999999995</v>
      </c>
      <c r="C6" s="19">
        <v>0.67589999999999995</v>
      </c>
      <c r="D6" s="19">
        <v>0.95750000000000002</v>
      </c>
      <c r="E6" s="19" t="s">
        <v>99</v>
      </c>
      <c r="F6" s="19" t="s">
        <v>100</v>
      </c>
      <c r="G6" s="19">
        <v>0.81430000000000002</v>
      </c>
      <c r="H6" s="19">
        <v>0.81269999999999998</v>
      </c>
      <c r="I6" s="19">
        <v>0.93969999999999998</v>
      </c>
      <c r="J6" s="19">
        <v>0.84830000000000005</v>
      </c>
      <c r="K6" s="19">
        <v>0.85909999999999997</v>
      </c>
      <c r="L6" s="19" t="s">
        <v>101</v>
      </c>
      <c r="M6" s="19">
        <v>0.9</v>
      </c>
      <c r="N6" s="19" t="s">
        <v>102</v>
      </c>
      <c r="O6" s="19">
        <v>1</v>
      </c>
      <c r="P6" s="19" t="s">
        <v>103</v>
      </c>
      <c r="Q6" s="19">
        <v>0.86639999999999995</v>
      </c>
      <c r="R6" s="19">
        <v>0.79930000000000001</v>
      </c>
      <c r="S6" s="19">
        <v>0.97109999999999996</v>
      </c>
      <c r="T6" s="19">
        <v>0.98</v>
      </c>
    </row>
    <row r="7" spans="1:20" ht="15.75" customHeight="1" x14ac:dyDescent="0.15">
      <c r="A7" s="22" t="s">
        <v>34</v>
      </c>
      <c r="B7" s="19">
        <v>0.6</v>
      </c>
    </row>
  </sheetData>
  <mergeCells count="2">
    <mergeCell ref="C1:L1"/>
    <mergeCell ref="M1:T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51"/>
  <sheetViews>
    <sheetView workbookViewId="0"/>
  </sheetViews>
  <sheetFormatPr baseColWidth="10" defaultColWidth="12.6640625" defaultRowHeight="15.75" customHeight="1" x14ac:dyDescent="0.15"/>
  <cols>
    <col min="1" max="1" width="26.6640625" customWidth="1"/>
    <col min="2" max="2" width="16.1640625" customWidth="1"/>
    <col min="3" max="3" width="23.33203125" customWidth="1"/>
    <col min="4" max="4" width="23.6640625" customWidth="1"/>
    <col min="5" max="5" width="19.5" customWidth="1"/>
    <col min="6" max="6" width="14" customWidth="1"/>
    <col min="7" max="7" width="31" customWidth="1"/>
  </cols>
  <sheetData>
    <row r="1" spans="1:9" ht="15.75" customHeight="1" x14ac:dyDescent="0.15">
      <c r="A1" s="1" t="s">
        <v>104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/>
      <c r="I1" s="23"/>
    </row>
    <row r="2" spans="1:9" ht="15.75" customHeight="1" x14ac:dyDescent="0.15">
      <c r="A2" s="783" t="s">
        <v>111</v>
      </c>
      <c r="B2" s="784"/>
      <c r="C2" s="784"/>
      <c r="D2" s="784"/>
      <c r="E2" s="784"/>
      <c r="F2" s="784"/>
      <c r="G2" s="784"/>
      <c r="H2" s="1"/>
    </row>
    <row r="3" spans="1:9" ht="15.75" customHeight="1" x14ac:dyDescent="0.15">
      <c r="A3" s="19" t="s">
        <v>24</v>
      </c>
      <c r="B3" s="19" t="s">
        <v>112</v>
      </c>
      <c r="C3" s="19" t="s">
        <v>113</v>
      </c>
      <c r="D3" s="19" t="s">
        <v>114</v>
      </c>
      <c r="E3" s="19" t="s">
        <v>115</v>
      </c>
      <c r="F3" s="19">
        <v>3.9E-2</v>
      </c>
      <c r="G3" s="24">
        <v>45923</v>
      </c>
      <c r="H3" s="24"/>
    </row>
    <row r="4" spans="1:9" ht="15.75" customHeight="1" x14ac:dyDescent="0.15">
      <c r="A4" s="19" t="s">
        <v>24</v>
      </c>
      <c r="B4" s="19" t="s">
        <v>116</v>
      </c>
      <c r="C4" s="19" t="s">
        <v>113</v>
      </c>
      <c r="D4" s="19" t="s">
        <v>117</v>
      </c>
      <c r="E4" s="19" t="s">
        <v>118</v>
      </c>
      <c r="F4" s="19">
        <v>0.59799999999999998</v>
      </c>
      <c r="G4" s="24">
        <v>45923</v>
      </c>
      <c r="H4" s="24"/>
    </row>
    <row r="5" spans="1:9" ht="15.75" customHeight="1" x14ac:dyDescent="0.15">
      <c r="A5" s="19" t="s">
        <v>24</v>
      </c>
      <c r="B5" s="19" t="s">
        <v>119</v>
      </c>
      <c r="C5" s="19" t="s">
        <v>113</v>
      </c>
      <c r="D5" s="19" t="s">
        <v>120</v>
      </c>
      <c r="E5" s="19" t="s">
        <v>121</v>
      </c>
      <c r="F5" s="19">
        <v>7.8E-2</v>
      </c>
      <c r="G5" s="24">
        <v>45924</v>
      </c>
      <c r="H5" s="24"/>
    </row>
    <row r="6" spans="1:9" ht="15.75" customHeight="1" x14ac:dyDescent="0.15">
      <c r="A6" s="19" t="s">
        <v>24</v>
      </c>
      <c r="B6" s="19" t="s">
        <v>122</v>
      </c>
      <c r="C6" s="19" t="s">
        <v>113</v>
      </c>
      <c r="D6" s="19" t="s">
        <v>123</v>
      </c>
      <c r="E6" s="19" t="s">
        <v>124</v>
      </c>
      <c r="F6" s="19">
        <v>6.4999999999999997E-3</v>
      </c>
      <c r="G6" s="24">
        <v>45924</v>
      </c>
      <c r="H6" s="24"/>
    </row>
    <row r="7" spans="1:9" ht="15.75" customHeight="1" x14ac:dyDescent="0.15">
      <c r="A7" s="19" t="s">
        <v>24</v>
      </c>
      <c r="B7" s="19" t="s">
        <v>125</v>
      </c>
      <c r="C7" s="19" t="s">
        <v>113</v>
      </c>
      <c r="D7" s="19" t="s">
        <v>126</v>
      </c>
      <c r="E7" s="19" t="s">
        <v>127</v>
      </c>
      <c r="F7" s="19">
        <v>4.5999999999999996</v>
      </c>
      <c r="G7" s="24">
        <v>45925</v>
      </c>
      <c r="H7" s="24"/>
    </row>
    <row r="8" spans="1:9" ht="15.75" customHeight="1" x14ac:dyDescent="0.15">
      <c r="A8" s="19" t="s">
        <v>24</v>
      </c>
      <c r="B8" s="19" t="s">
        <v>128</v>
      </c>
      <c r="C8" s="19" t="s">
        <v>113</v>
      </c>
      <c r="D8" s="19" t="s">
        <v>129</v>
      </c>
      <c r="E8" s="19" t="s">
        <v>130</v>
      </c>
      <c r="F8" s="19">
        <v>5.68</v>
      </c>
      <c r="G8" s="24">
        <v>45936</v>
      </c>
      <c r="H8" s="24"/>
    </row>
    <row r="9" spans="1:9" ht="15.75" customHeight="1" x14ac:dyDescent="0.15">
      <c r="A9" s="783" t="s">
        <v>131</v>
      </c>
      <c r="B9" s="784"/>
      <c r="C9" s="784"/>
      <c r="D9" s="784"/>
      <c r="E9" s="784"/>
      <c r="F9" s="784"/>
      <c r="G9" s="784"/>
      <c r="H9" s="1"/>
    </row>
    <row r="10" spans="1:9" ht="15.75" customHeight="1" x14ac:dyDescent="0.15">
      <c r="A10" s="783" t="s">
        <v>132</v>
      </c>
      <c r="B10" s="784"/>
      <c r="C10" s="784"/>
      <c r="D10" s="784"/>
      <c r="E10" s="784"/>
      <c r="F10" s="784"/>
      <c r="G10" s="784"/>
      <c r="H10" s="1"/>
    </row>
    <row r="11" spans="1:9" ht="15.75" customHeight="1" x14ac:dyDescent="0.15">
      <c r="A11" s="19" t="s">
        <v>132</v>
      </c>
      <c r="B11" s="19" t="s">
        <v>112</v>
      </c>
      <c r="C11" s="19" t="s">
        <v>133</v>
      </c>
      <c r="D11" s="19" t="s">
        <v>134</v>
      </c>
      <c r="E11" s="19" t="s">
        <v>135</v>
      </c>
      <c r="F11" s="19">
        <v>0.34200000000000003</v>
      </c>
      <c r="G11" s="24">
        <v>45924</v>
      </c>
      <c r="H11" s="24"/>
    </row>
    <row r="12" spans="1:9" ht="15.75" customHeight="1" x14ac:dyDescent="0.15">
      <c r="A12" s="19" t="s">
        <v>132</v>
      </c>
      <c r="B12" s="19" t="s">
        <v>116</v>
      </c>
      <c r="C12" s="19" t="s">
        <v>133</v>
      </c>
      <c r="D12" s="19" t="s">
        <v>136</v>
      </c>
      <c r="E12" s="19" t="s">
        <v>137</v>
      </c>
      <c r="F12" s="19">
        <v>2.843</v>
      </c>
      <c r="G12" s="24">
        <v>45924</v>
      </c>
      <c r="H12" s="24"/>
    </row>
    <row r="13" spans="1:9" ht="15.75" customHeight="1" x14ac:dyDescent="0.15">
      <c r="A13" s="19" t="s">
        <v>132</v>
      </c>
      <c r="B13" s="19" t="s">
        <v>119</v>
      </c>
      <c r="C13" s="19" t="s">
        <v>133</v>
      </c>
      <c r="D13" s="19" t="s">
        <v>138</v>
      </c>
      <c r="E13" s="19" t="s">
        <v>139</v>
      </c>
      <c r="F13" s="19">
        <v>0.66600000000000004</v>
      </c>
      <c r="G13" s="24">
        <v>45924</v>
      </c>
      <c r="H13" s="24"/>
    </row>
    <row r="14" spans="1:9" ht="15.75" customHeight="1" x14ac:dyDescent="0.15">
      <c r="A14" s="19" t="s">
        <v>132</v>
      </c>
      <c r="B14" s="19" t="s">
        <v>122</v>
      </c>
      <c r="C14" s="19" t="s">
        <v>133</v>
      </c>
      <c r="D14" s="19" t="s">
        <v>140</v>
      </c>
      <c r="E14" s="19" t="s">
        <v>141</v>
      </c>
      <c r="F14" s="19">
        <v>0.27</v>
      </c>
      <c r="G14" s="24">
        <v>45924</v>
      </c>
      <c r="H14" s="24"/>
    </row>
    <row r="15" spans="1:9" ht="15.75" customHeight="1" x14ac:dyDescent="0.15">
      <c r="A15" s="19" t="s">
        <v>132</v>
      </c>
      <c r="B15" s="19" t="s">
        <v>125</v>
      </c>
      <c r="C15" s="19" t="s">
        <v>133</v>
      </c>
      <c r="D15" s="19" t="s">
        <v>142</v>
      </c>
      <c r="E15" s="19" t="s">
        <v>143</v>
      </c>
      <c r="F15" s="19">
        <v>6.48</v>
      </c>
      <c r="G15" s="24">
        <v>45925</v>
      </c>
      <c r="H15" s="24"/>
    </row>
    <row r="16" spans="1:9" ht="15.75" customHeight="1" x14ac:dyDescent="0.15">
      <c r="A16" s="19" t="s">
        <v>132</v>
      </c>
      <c r="B16" s="19" t="s">
        <v>128</v>
      </c>
      <c r="C16" s="19" t="s">
        <v>133</v>
      </c>
      <c r="D16" s="19" t="s">
        <v>144</v>
      </c>
      <c r="E16" s="19" t="s">
        <v>145</v>
      </c>
      <c r="F16" s="19">
        <v>7.2539999999999996</v>
      </c>
      <c r="G16" s="25">
        <v>45935</v>
      </c>
      <c r="H16" s="25"/>
    </row>
    <row r="17" spans="1:8" ht="15.75" customHeight="1" x14ac:dyDescent="0.15">
      <c r="A17" s="783" t="s">
        <v>146</v>
      </c>
      <c r="B17" s="784"/>
      <c r="C17" s="784"/>
      <c r="D17" s="784"/>
      <c r="E17" s="784"/>
      <c r="F17" s="784"/>
      <c r="G17" s="784"/>
      <c r="H17" s="1"/>
    </row>
    <row r="18" spans="1:8" ht="15.75" customHeight="1" x14ac:dyDescent="0.15">
      <c r="A18" s="783" t="s">
        <v>43</v>
      </c>
      <c r="B18" s="784"/>
      <c r="C18" s="784"/>
      <c r="D18" s="784"/>
      <c r="E18" s="784"/>
      <c r="F18" s="784"/>
      <c r="G18" s="784"/>
      <c r="H18" s="1"/>
    </row>
    <row r="19" spans="1:8" ht="15.75" customHeight="1" x14ac:dyDescent="0.15">
      <c r="A19" s="19" t="s">
        <v>43</v>
      </c>
      <c r="B19" s="19" t="s">
        <v>112</v>
      </c>
      <c r="C19" s="19" t="s">
        <v>113</v>
      </c>
      <c r="D19" s="19" t="s">
        <v>147</v>
      </c>
      <c r="E19" s="19" t="s">
        <v>148</v>
      </c>
      <c r="F19" s="19">
        <v>1.825</v>
      </c>
      <c r="G19" s="26">
        <v>45942</v>
      </c>
      <c r="H19" s="26"/>
    </row>
    <row r="20" spans="1:8" ht="15.75" customHeight="1" x14ac:dyDescent="0.15">
      <c r="A20" s="19" t="s">
        <v>43</v>
      </c>
      <c r="B20" s="19" t="s">
        <v>116</v>
      </c>
      <c r="C20" s="19" t="s">
        <v>113</v>
      </c>
      <c r="D20" s="19" t="s">
        <v>149</v>
      </c>
      <c r="E20" s="19" t="s">
        <v>150</v>
      </c>
      <c r="F20" s="19">
        <v>7.9494999999999996</v>
      </c>
      <c r="G20" s="26">
        <v>45943</v>
      </c>
      <c r="H20" s="26"/>
    </row>
    <row r="21" spans="1:8" ht="15.75" customHeight="1" x14ac:dyDescent="0.15">
      <c r="A21" s="19" t="s">
        <v>43</v>
      </c>
      <c r="B21" s="19" t="s">
        <v>119</v>
      </c>
      <c r="C21" s="19" t="s">
        <v>151</v>
      </c>
      <c r="D21" s="19" t="s">
        <v>152</v>
      </c>
      <c r="E21" s="19" t="s">
        <v>153</v>
      </c>
      <c r="F21" s="19">
        <v>1.7050000000000001</v>
      </c>
      <c r="G21" s="26">
        <v>45942</v>
      </c>
      <c r="H21" s="26"/>
    </row>
    <row r="22" spans="1:8" ht="15.75" customHeight="1" x14ac:dyDescent="0.15">
      <c r="A22" s="19" t="s">
        <v>43</v>
      </c>
      <c r="B22" s="19" t="s">
        <v>122</v>
      </c>
      <c r="C22" s="19" t="s">
        <v>151</v>
      </c>
      <c r="D22" s="19" t="s">
        <v>154</v>
      </c>
      <c r="E22" s="19" t="s">
        <v>155</v>
      </c>
      <c r="F22" s="19">
        <v>0.89</v>
      </c>
      <c r="G22" s="26">
        <v>45943</v>
      </c>
      <c r="H22" s="26"/>
    </row>
    <row r="23" spans="1:8" ht="15.75" customHeight="1" x14ac:dyDescent="0.15">
      <c r="A23" s="19" t="s">
        <v>43</v>
      </c>
      <c r="B23" s="19" t="s">
        <v>125</v>
      </c>
      <c r="C23" s="19" t="s">
        <v>151</v>
      </c>
      <c r="D23" s="19" t="s">
        <v>156</v>
      </c>
      <c r="E23" s="19" t="s">
        <v>157</v>
      </c>
      <c r="F23" s="19">
        <v>7.7874999999999996</v>
      </c>
      <c r="G23" s="26">
        <v>45944</v>
      </c>
      <c r="H23" s="26"/>
    </row>
    <row r="24" spans="1:8" ht="15.75" customHeight="1" x14ac:dyDescent="0.15">
      <c r="A24" s="19" t="s">
        <v>43</v>
      </c>
      <c r="B24" s="19" t="s">
        <v>128</v>
      </c>
      <c r="C24" s="19" t="s">
        <v>151</v>
      </c>
      <c r="D24" s="19" t="s">
        <v>158</v>
      </c>
      <c r="E24" s="19" t="s">
        <v>159</v>
      </c>
      <c r="F24" s="19">
        <v>10.324</v>
      </c>
      <c r="G24" s="26">
        <v>45943</v>
      </c>
      <c r="H24" s="26"/>
    </row>
    <row r="25" spans="1:8" ht="15.75" customHeight="1" x14ac:dyDescent="0.15">
      <c r="A25" s="783" t="s">
        <v>160</v>
      </c>
      <c r="B25" s="784"/>
      <c r="C25" s="784"/>
      <c r="D25" s="784"/>
      <c r="E25" s="784"/>
      <c r="F25" s="784"/>
      <c r="G25" s="784"/>
      <c r="H25" s="1"/>
    </row>
    <row r="26" spans="1:8" ht="15.75" customHeight="1" x14ac:dyDescent="0.15">
      <c r="A26" s="783" t="s">
        <v>41</v>
      </c>
      <c r="B26" s="784"/>
      <c r="C26" s="784"/>
      <c r="D26" s="784"/>
      <c r="E26" s="784"/>
      <c r="F26" s="784"/>
      <c r="G26" s="784"/>
      <c r="H26" s="1"/>
    </row>
    <row r="27" spans="1:8" ht="15.75" customHeight="1" x14ac:dyDescent="0.15">
      <c r="A27" s="19" t="s">
        <v>41</v>
      </c>
      <c r="B27" s="19" t="s">
        <v>112</v>
      </c>
      <c r="C27" s="19" t="s">
        <v>161</v>
      </c>
      <c r="D27" s="19" t="s">
        <v>162</v>
      </c>
      <c r="E27" s="19" t="s">
        <v>163</v>
      </c>
      <c r="F27" s="19">
        <v>3.339</v>
      </c>
      <c r="G27" s="24">
        <v>45925</v>
      </c>
      <c r="H27" s="24"/>
    </row>
    <row r="28" spans="1:8" ht="15.75" customHeight="1" x14ac:dyDescent="0.15">
      <c r="A28" s="19" t="s">
        <v>41</v>
      </c>
      <c r="B28" s="19" t="s">
        <v>116</v>
      </c>
      <c r="C28" s="19" t="s">
        <v>164</v>
      </c>
      <c r="D28" s="19" t="s">
        <v>165</v>
      </c>
      <c r="E28" s="19" t="s">
        <v>166</v>
      </c>
      <c r="F28" s="19">
        <v>17.43</v>
      </c>
      <c r="G28" s="24">
        <v>45926</v>
      </c>
      <c r="H28" s="24"/>
    </row>
    <row r="29" spans="1:8" ht="15.75" customHeight="1" x14ac:dyDescent="0.15">
      <c r="A29" s="19" t="s">
        <v>41</v>
      </c>
      <c r="B29" s="19" t="s">
        <v>119</v>
      </c>
      <c r="C29" s="19" t="s">
        <v>164</v>
      </c>
      <c r="D29" s="19" t="s">
        <v>167</v>
      </c>
      <c r="E29" s="19" t="s">
        <v>168</v>
      </c>
      <c r="F29" s="19">
        <v>4.4820000000000002</v>
      </c>
      <c r="G29" s="24">
        <v>45926</v>
      </c>
      <c r="H29" s="24"/>
    </row>
    <row r="30" spans="1:8" ht="15.75" customHeight="1" x14ac:dyDescent="0.15">
      <c r="A30" s="19" t="s">
        <v>41</v>
      </c>
      <c r="B30" s="19" t="s">
        <v>122</v>
      </c>
      <c r="C30" s="19" t="s">
        <v>164</v>
      </c>
      <c r="D30" s="19" t="s">
        <v>169</v>
      </c>
      <c r="E30" s="19" t="s">
        <v>170</v>
      </c>
      <c r="F30" s="19">
        <v>0.88500000000000001</v>
      </c>
      <c r="G30" s="24">
        <v>45926</v>
      </c>
      <c r="H30" s="24"/>
    </row>
    <row r="31" spans="1:8" ht="15.75" customHeight="1" x14ac:dyDescent="0.15">
      <c r="A31" s="19" t="s">
        <v>41</v>
      </c>
      <c r="B31" s="19" t="s">
        <v>125</v>
      </c>
      <c r="C31" s="19" t="s">
        <v>164</v>
      </c>
      <c r="D31" s="19" t="s">
        <v>171</v>
      </c>
      <c r="E31" s="19" t="s">
        <v>172</v>
      </c>
      <c r="F31" s="19">
        <v>22.54</v>
      </c>
      <c r="G31" s="24">
        <v>45927</v>
      </c>
      <c r="H31" s="24"/>
    </row>
    <row r="32" spans="1:8" ht="15.75" customHeight="1" x14ac:dyDescent="0.15">
      <c r="A32" s="19" t="s">
        <v>41</v>
      </c>
      <c r="B32" s="19" t="s">
        <v>128</v>
      </c>
      <c r="C32" s="19" t="s">
        <v>161</v>
      </c>
      <c r="D32" s="19" t="s">
        <v>173</v>
      </c>
      <c r="E32" s="19" t="s">
        <v>174</v>
      </c>
      <c r="F32" s="19">
        <v>23.96</v>
      </c>
      <c r="G32" s="24">
        <v>45938</v>
      </c>
      <c r="H32" s="24"/>
    </row>
    <row r="33" spans="1:27" ht="15.75" customHeight="1" x14ac:dyDescent="0.15">
      <c r="A33" s="783" t="s">
        <v>175</v>
      </c>
      <c r="B33" s="784"/>
      <c r="C33" s="784"/>
      <c r="D33" s="784"/>
      <c r="E33" s="784"/>
      <c r="F33" s="784"/>
      <c r="G33" s="784"/>
      <c r="H33" s="1"/>
    </row>
    <row r="34" spans="1:27" ht="15.75" customHeight="1" x14ac:dyDescent="0.15">
      <c r="A34" s="783" t="s">
        <v>176</v>
      </c>
      <c r="B34" s="784"/>
      <c r="C34" s="784"/>
      <c r="D34" s="784"/>
      <c r="E34" s="784"/>
      <c r="F34" s="784"/>
      <c r="G34" s="784"/>
      <c r="H34" s="1"/>
    </row>
    <row r="35" spans="1:27" ht="15.75" customHeight="1" x14ac:dyDescent="0.15">
      <c r="A35" s="19" t="s">
        <v>176</v>
      </c>
      <c r="B35" s="19" t="s">
        <v>112</v>
      </c>
      <c r="C35" s="19" t="s">
        <v>177</v>
      </c>
      <c r="D35" s="19" t="s">
        <v>178</v>
      </c>
      <c r="E35" s="19" t="s">
        <v>179</v>
      </c>
      <c r="F35" s="19">
        <v>8.1080000000000005</v>
      </c>
      <c r="G35" s="24">
        <v>45929</v>
      </c>
      <c r="H35" s="24"/>
    </row>
    <row r="36" spans="1:27" ht="15.75" customHeight="1" x14ac:dyDescent="0.15">
      <c r="A36" s="19" t="s">
        <v>176</v>
      </c>
      <c r="B36" s="19" t="s">
        <v>116</v>
      </c>
      <c r="C36" s="19" t="s">
        <v>177</v>
      </c>
      <c r="D36" s="19" t="s">
        <v>180</v>
      </c>
      <c r="E36" s="19" t="s">
        <v>181</v>
      </c>
      <c r="F36" s="19">
        <v>78.6828</v>
      </c>
      <c r="G36" s="24">
        <v>45930</v>
      </c>
      <c r="H36" s="24"/>
    </row>
    <row r="37" spans="1:27" ht="15.75" customHeight="1" x14ac:dyDescent="0.15">
      <c r="A37" s="19" t="s">
        <v>176</v>
      </c>
      <c r="B37" s="19" t="s">
        <v>119</v>
      </c>
      <c r="C37" s="19" t="s">
        <v>177</v>
      </c>
      <c r="D37" s="19" t="s">
        <v>182</v>
      </c>
      <c r="E37" s="19" t="s">
        <v>183</v>
      </c>
      <c r="F37" s="19">
        <v>9.6859999999999999</v>
      </c>
      <c r="G37" s="24">
        <v>45929</v>
      </c>
      <c r="H37" s="24"/>
    </row>
    <row r="38" spans="1:27" ht="15.75" customHeight="1" x14ac:dyDescent="0.15">
      <c r="A38" s="19" t="s">
        <v>176</v>
      </c>
      <c r="B38" s="19" t="s">
        <v>122</v>
      </c>
      <c r="C38" s="19" t="s">
        <v>177</v>
      </c>
      <c r="D38" s="19" t="s">
        <v>184</v>
      </c>
      <c r="E38" s="19" t="s">
        <v>185</v>
      </c>
      <c r="F38" s="19">
        <v>5.3360000000000003</v>
      </c>
      <c r="G38" s="24">
        <v>45929</v>
      </c>
      <c r="H38" s="24"/>
    </row>
    <row r="39" spans="1:27" ht="15.75" customHeight="1" x14ac:dyDescent="0.15">
      <c r="A39" s="19" t="s">
        <v>176</v>
      </c>
      <c r="B39" s="19" t="s">
        <v>125</v>
      </c>
      <c r="C39" s="19" t="s">
        <v>177</v>
      </c>
      <c r="D39" s="19" t="s">
        <v>186</v>
      </c>
      <c r="E39" s="19" t="s">
        <v>187</v>
      </c>
      <c r="F39" s="19">
        <v>151.97</v>
      </c>
      <c r="G39" s="24">
        <v>45931</v>
      </c>
      <c r="H39" s="24"/>
    </row>
    <row r="40" spans="1:27" ht="15.75" customHeight="1" x14ac:dyDescent="0.15">
      <c r="A40" s="19" t="s">
        <v>176</v>
      </c>
      <c r="B40" s="19" t="s">
        <v>128</v>
      </c>
      <c r="C40" s="19" t="s">
        <v>177</v>
      </c>
      <c r="D40" s="19" t="s">
        <v>188</v>
      </c>
      <c r="E40" s="19" t="s">
        <v>189</v>
      </c>
      <c r="F40" s="19">
        <v>140.65</v>
      </c>
      <c r="G40" s="24">
        <v>45938</v>
      </c>
      <c r="H40" s="24"/>
    </row>
    <row r="41" spans="1:27" ht="15.75" customHeight="1" x14ac:dyDescent="0.15">
      <c r="A41" s="783" t="s">
        <v>190</v>
      </c>
      <c r="B41" s="784"/>
      <c r="C41" s="784"/>
      <c r="D41" s="784"/>
      <c r="E41" s="784"/>
      <c r="F41" s="784"/>
      <c r="G41" s="784"/>
      <c r="H41" s="1"/>
    </row>
    <row r="42" spans="1:27" ht="15.75" customHeight="1" x14ac:dyDescent="0.15">
      <c r="A42" s="783" t="s">
        <v>51</v>
      </c>
      <c r="B42" s="784"/>
      <c r="C42" s="784"/>
      <c r="D42" s="784"/>
      <c r="E42" s="784"/>
      <c r="F42" s="784"/>
      <c r="G42" s="784"/>
      <c r="H42" s="1"/>
    </row>
    <row r="43" spans="1:27" ht="15.75" customHeight="1" x14ac:dyDescent="0.15">
      <c r="A43" s="19" t="s">
        <v>51</v>
      </c>
      <c r="B43" s="19" t="s">
        <v>112</v>
      </c>
      <c r="C43" s="19" t="s">
        <v>62</v>
      </c>
      <c r="D43" s="19" t="s">
        <v>191</v>
      </c>
      <c r="E43" s="19" t="s">
        <v>62</v>
      </c>
      <c r="F43" s="19">
        <v>3.8473999999999999</v>
      </c>
      <c r="G43" s="24">
        <v>45932</v>
      </c>
      <c r="H43" s="24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5.75" customHeight="1" x14ac:dyDescent="0.15">
      <c r="A44" s="19" t="s">
        <v>51</v>
      </c>
      <c r="B44" s="19" t="s">
        <v>116</v>
      </c>
      <c r="C44" s="19" t="s">
        <v>62</v>
      </c>
      <c r="D44" s="19" t="s">
        <v>192</v>
      </c>
      <c r="E44" s="19" t="s">
        <v>62</v>
      </c>
      <c r="F44" s="19">
        <v>6.4130000000000003</v>
      </c>
      <c r="G44" s="24">
        <v>45932</v>
      </c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 ht="15.75" customHeight="1" x14ac:dyDescent="0.15">
      <c r="A45" s="19" t="s">
        <v>51</v>
      </c>
      <c r="B45" s="19" t="s">
        <v>119</v>
      </c>
      <c r="C45" s="19" t="s">
        <v>62</v>
      </c>
      <c r="D45" s="19" t="s">
        <v>193</v>
      </c>
      <c r="E45" s="19" t="s">
        <v>62</v>
      </c>
      <c r="F45" s="19">
        <v>4.7866</v>
      </c>
      <c r="G45" s="24">
        <v>45932</v>
      </c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 x14ac:dyDescent="0.15">
      <c r="A46" s="19" t="s">
        <v>51</v>
      </c>
      <c r="B46" s="19" t="s">
        <v>122</v>
      </c>
      <c r="C46" s="19" t="s">
        <v>62</v>
      </c>
      <c r="D46" s="19" t="s">
        <v>194</v>
      </c>
      <c r="E46" s="19" t="s">
        <v>62</v>
      </c>
      <c r="F46" s="19">
        <v>0.4118</v>
      </c>
      <c r="G46" s="24">
        <v>45932</v>
      </c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 x14ac:dyDescent="0.15">
      <c r="A47" s="19" t="s">
        <v>51</v>
      </c>
      <c r="B47" s="19" t="s">
        <v>125</v>
      </c>
      <c r="C47" s="19" t="s">
        <v>62</v>
      </c>
      <c r="D47" s="19" t="s">
        <v>195</v>
      </c>
      <c r="E47" s="19" t="s">
        <v>62</v>
      </c>
      <c r="F47" s="19">
        <v>20.679500000000001</v>
      </c>
      <c r="G47" s="24">
        <v>45932</v>
      </c>
      <c r="H47" s="24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 x14ac:dyDescent="0.15">
      <c r="A48" s="19" t="s">
        <v>51</v>
      </c>
      <c r="B48" s="19" t="s">
        <v>128</v>
      </c>
      <c r="C48" s="19" t="s">
        <v>62</v>
      </c>
      <c r="D48" s="19" t="s">
        <v>196</v>
      </c>
      <c r="E48" s="19" t="s">
        <v>62</v>
      </c>
      <c r="F48" s="19">
        <v>23.116700000000002</v>
      </c>
      <c r="G48" s="24">
        <v>45933</v>
      </c>
      <c r="H48" s="24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8" ht="15.75" customHeight="1" x14ac:dyDescent="0.15">
      <c r="A49" s="783" t="s">
        <v>197</v>
      </c>
      <c r="B49" s="784"/>
      <c r="C49" s="784"/>
      <c r="D49" s="784"/>
      <c r="E49" s="784"/>
      <c r="F49" s="784"/>
      <c r="G49" s="784"/>
      <c r="H49" s="1"/>
    </row>
    <row r="50" spans="1:8" ht="15.75" customHeight="1" x14ac:dyDescent="0.15">
      <c r="A50" s="783" t="s">
        <v>49</v>
      </c>
      <c r="B50" s="784"/>
      <c r="C50" s="784"/>
      <c r="D50" s="784"/>
      <c r="E50" s="784"/>
      <c r="F50" s="784"/>
      <c r="G50" s="784"/>
      <c r="H50" s="1"/>
    </row>
    <row r="51" spans="1:8" ht="15.75" customHeight="1" x14ac:dyDescent="0.15">
      <c r="A51" s="19" t="s">
        <v>49</v>
      </c>
      <c r="B51" s="19" t="s">
        <v>112</v>
      </c>
      <c r="C51" s="19" t="s">
        <v>62</v>
      </c>
      <c r="D51" s="19" t="s">
        <v>198</v>
      </c>
      <c r="E51" s="19" t="s">
        <v>62</v>
      </c>
      <c r="F51" s="19">
        <v>3.91</v>
      </c>
      <c r="G51" s="26">
        <v>45944</v>
      </c>
      <c r="H51" s="26"/>
    </row>
    <row r="52" spans="1:8" ht="15.75" customHeight="1" x14ac:dyDescent="0.15">
      <c r="A52" s="19" t="s">
        <v>49</v>
      </c>
      <c r="B52" s="19" t="s">
        <v>116</v>
      </c>
      <c r="C52" s="19" t="s">
        <v>62</v>
      </c>
      <c r="D52" s="19" t="s">
        <v>199</v>
      </c>
      <c r="E52" s="19" t="s">
        <v>62</v>
      </c>
      <c r="F52" s="19">
        <v>17.010000000000002</v>
      </c>
      <c r="G52" s="26">
        <v>45944</v>
      </c>
      <c r="H52" s="26"/>
    </row>
    <row r="53" spans="1:8" ht="15.75" customHeight="1" x14ac:dyDescent="0.15">
      <c r="A53" s="19" t="s">
        <v>49</v>
      </c>
      <c r="B53" s="19" t="s">
        <v>119</v>
      </c>
      <c r="C53" s="19" t="s">
        <v>62</v>
      </c>
      <c r="D53" s="19" t="s">
        <v>200</v>
      </c>
      <c r="E53" s="19" t="s">
        <v>62</v>
      </c>
      <c r="F53" s="19">
        <v>5.38</v>
      </c>
      <c r="G53" s="26">
        <v>45944</v>
      </c>
      <c r="H53" s="26"/>
    </row>
    <row r="54" spans="1:8" ht="15.75" customHeight="1" x14ac:dyDescent="0.15">
      <c r="A54" s="19" t="s">
        <v>49</v>
      </c>
      <c r="B54" s="19" t="s">
        <v>122</v>
      </c>
      <c r="C54" s="19" t="s">
        <v>62</v>
      </c>
      <c r="D54" s="19" t="s">
        <v>201</v>
      </c>
      <c r="E54" s="19" t="s">
        <v>62</v>
      </c>
      <c r="F54" s="19">
        <v>1.67</v>
      </c>
      <c r="G54" s="26">
        <v>45944</v>
      </c>
      <c r="H54" s="26"/>
    </row>
    <row r="55" spans="1:8" ht="15.75" customHeight="1" x14ac:dyDescent="0.15">
      <c r="A55" s="19" t="s">
        <v>49</v>
      </c>
      <c r="B55" s="19" t="s">
        <v>125</v>
      </c>
      <c r="C55" s="19" t="s">
        <v>62</v>
      </c>
      <c r="D55" s="19" t="s">
        <v>202</v>
      </c>
      <c r="E55" s="19" t="s">
        <v>62</v>
      </c>
      <c r="F55" s="19">
        <v>35.770000000000003</v>
      </c>
      <c r="G55" s="26">
        <v>45944</v>
      </c>
      <c r="H55" s="26"/>
    </row>
    <row r="56" spans="1:8" ht="15.75" customHeight="1" x14ac:dyDescent="0.15">
      <c r="A56" s="19" t="s">
        <v>49</v>
      </c>
      <c r="B56" s="19" t="s">
        <v>128</v>
      </c>
      <c r="C56" s="19" t="s">
        <v>62</v>
      </c>
      <c r="D56" s="19" t="s">
        <v>203</v>
      </c>
      <c r="E56" s="19" t="s">
        <v>62</v>
      </c>
      <c r="F56" s="19">
        <v>31.87</v>
      </c>
      <c r="G56" s="26">
        <v>45945</v>
      </c>
      <c r="H56" s="26"/>
    </row>
    <row r="57" spans="1:8" ht="15.75" customHeight="1" x14ac:dyDescent="0.15">
      <c r="A57" s="783" t="s">
        <v>204</v>
      </c>
      <c r="B57" s="784"/>
      <c r="C57" s="784"/>
      <c r="D57" s="784"/>
      <c r="E57" s="784"/>
      <c r="F57" s="784"/>
      <c r="G57" s="784"/>
      <c r="H57" s="1"/>
    </row>
    <row r="58" spans="1:8" ht="15.75" customHeight="1" x14ac:dyDescent="0.15">
      <c r="A58" s="783" t="s">
        <v>205</v>
      </c>
      <c r="B58" s="784"/>
      <c r="C58" s="784"/>
      <c r="D58" s="784"/>
      <c r="E58" s="784"/>
      <c r="F58" s="784"/>
      <c r="G58" s="784"/>
      <c r="H58" s="1"/>
    </row>
    <row r="59" spans="1:8" ht="15.75" customHeight="1" x14ac:dyDescent="0.15">
      <c r="A59" s="19" t="s">
        <v>206</v>
      </c>
      <c r="B59" s="19" t="s">
        <v>112</v>
      </c>
      <c r="C59" s="19" t="s">
        <v>177</v>
      </c>
      <c r="D59" s="19" t="s">
        <v>207</v>
      </c>
      <c r="E59" s="19" t="s">
        <v>208</v>
      </c>
      <c r="F59" s="19">
        <v>4.28</v>
      </c>
      <c r="G59" s="26">
        <v>45944</v>
      </c>
      <c r="H59" s="26"/>
    </row>
    <row r="60" spans="1:8" ht="15.75" customHeight="1" x14ac:dyDescent="0.15">
      <c r="A60" s="19" t="s">
        <v>206</v>
      </c>
      <c r="B60" s="19" t="s">
        <v>116</v>
      </c>
      <c r="C60" s="19" t="s">
        <v>177</v>
      </c>
      <c r="D60" s="19" t="s">
        <v>209</v>
      </c>
      <c r="E60" s="19" t="s">
        <v>210</v>
      </c>
      <c r="F60" s="19">
        <v>42.34</v>
      </c>
      <c r="G60" s="26">
        <v>45945</v>
      </c>
      <c r="H60" s="26"/>
    </row>
    <row r="61" spans="1:8" ht="15.75" customHeight="1" x14ac:dyDescent="0.15">
      <c r="A61" s="19" t="s">
        <v>206</v>
      </c>
      <c r="B61" s="19" t="s">
        <v>119</v>
      </c>
      <c r="C61" s="19" t="s">
        <v>177</v>
      </c>
      <c r="D61" s="19" t="s">
        <v>211</v>
      </c>
      <c r="E61" s="19" t="s">
        <v>212</v>
      </c>
      <c r="F61" s="19">
        <v>7.93</v>
      </c>
      <c r="G61" s="26">
        <v>45945</v>
      </c>
      <c r="H61" s="26"/>
    </row>
    <row r="62" spans="1:8" ht="15.75" customHeight="1" x14ac:dyDescent="0.15">
      <c r="A62" s="19" t="s">
        <v>206</v>
      </c>
      <c r="B62" s="19" t="s">
        <v>122</v>
      </c>
      <c r="C62" s="19" t="s">
        <v>177</v>
      </c>
      <c r="D62" s="19" t="s">
        <v>213</v>
      </c>
      <c r="E62" s="19" t="s">
        <v>214</v>
      </c>
      <c r="F62" s="19">
        <v>2.9</v>
      </c>
      <c r="G62" s="26">
        <v>45944</v>
      </c>
      <c r="H62" s="26"/>
    </row>
    <row r="63" spans="1:8" ht="15.75" customHeight="1" x14ac:dyDescent="0.15">
      <c r="A63" s="19" t="s">
        <v>206</v>
      </c>
      <c r="B63" s="19" t="s">
        <v>125</v>
      </c>
      <c r="C63" s="19" t="s">
        <v>177</v>
      </c>
      <c r="D63" s="19" t="s">
        <v>215</v>
      </c>
      <c r="E63" s="19" t="s">
        <v>216</v>
      </c>
      <c r="F63" s="19">
        <v>89.146000000000001</v>
      </c>
      <c r="G63" s="26">
        <v>45947</v>
      </c>
      <c r="H63" s="26"/>
    </row>
    <row r="64" spans="1:8" ht="15.75" customHeight="1" x14ac:dyDescent="0.15">
      <c r="A64" s="19" t="s">
        <v>206</v>
      </c>
      <c r="B64" s="19" t="s">
        <v>128</v>
      </c>
      <c r="C64" s="19" t="s">
        <v>177</v>
      </c>
      <c r="D64" s="19" t="s">
        <v>217</v>
      </c>
      <c r="E64" s="19" t="s">
        <v>218</v>
      </c>
      <c r="F64" s="19">
        <v>70.47</v>
      </c>
      <c r="G64" s="26">
        <v>45946</v>
      </c>
      <c r="H64" s="26"/>
    </row>
    <row r="65" spans="1:8" ht="15.75" customHeight="1" x14ac:dyDescent="0.15">
      <c r="A65" s="783" t="s">
        <v>219</v>
      </c>
      <c r="B65" s="784"/>
      <c r="C65" s="784"/>
      <c r="D65" s="784"/>
      <c r="E65" s="784"/>
      <c r="F65" s="784"/>
      <c r="G65" s="784"/>
      <c r="H65" s="28"/>
    </row>
    <row r="66" spans="1:8" ht="15.75" customHeight="1" x14ac:dyDescent="0.15">
      <c r="A66" s="783" t="s">
        <v>220</v>
      </c>
      <c r="B66" s="784"/>
      <c r="C66" s="784"/>
      <c r="D66" s="784"/>
      <c r="E66" s="784"/>
      <c r="F66" s="784"/>
      <c r="G66" s="784"/>
      <c r="H66" s="28"/>
    </row>
    <row r="67" spans="1:8" ht="15.75" customHeight="1" x14ac:dyDescent="0.15">
      <c r="A67" s="19" t="s">
        <v>220</v>
      </c>
      <c r="B67" s="19" t="s">
        <v>112</v>
      </c>
      <c r="C67" s="19" t="s">
        <v>221</v>
      </c>
      <c r="D67" s="19" t="s">
        <v>222</v>
      </c>
      <c r="E67" s="19" t="s">
        <v>223</v>
      </c>
      <c r="F67" s="19">
        <v>11.542</v>
      </c>
      <c r="G67" s="26">
        <v>45948</v>
      </c>
      <c r="H67" s="26"/>
    </row>
    <row r="68" spans="1:8" ht="15.75" customHeight="1" x14ac:dyDescent="0.15">
      <c r="A68" s="19" t="s">
        <v>220</v>
      </c>
      <c r="B68" s="19" t="s">
        <v>116</v>
      </c>
      <c r="C68" s="19" t="s">
        <v>221</v>
      </c>
      <c r="D68" s="19" t="s">
        <v>224</v>
      </c>
      <c r="E68" s="19" t="s">
        <v>225</v>
      </c>
      <c r="F68" s="19">
        <v>41.933999999999997</v>
      </c>
      <c r="G68" s="26">
        <v>45949</v>
      </c>
      <c r="H68" s="26"/>
    </row>
    <row r="69" spans="1:8" ht="15.75" customHeight="1" x14ac:dyDescent="0.15">
      <c r="A69" s="19" t="s">
        <v>220</v>
      </c>
      <c r="B69" s="19" t="s">
        <v>119</v>
      </c>
      <c r="C69" s="19" t="s">
        <v>221</v>
      </c>
      <c r="D69" s="19" t="s">
        <v>226</v>
      </c>
      <c r="E69" s="19" t="s">
        <v>227</v>
      </c>
      <c r="F69" s="19">
        <v>10.382</v>
      </c>
      <c r="G69" s="26">
        <v>45948</v>
      </c>
      <c r="H69" s="26"/>
    </row>
    <row r="70" spans="1:8" ht="15.75" customHeight="1" x14ac:dyDescent="0.15">
      <c r="A70" s="19" t="s">
        <v>220</v>
      </c>
      <c r="B70" s="19" t="s">
        <v>122</v>
      </c>
      <c r="C70" s="19" t="s">
        <v>221</v>
      </c>
      <c r="D70" s="19" t="s">
        <v>228</v>
      </c>
      <c r="E70" s="19" t="s">
        <v>229</v>
      </c>
      <c r="F70" s="19">
        <v>1.885</v>
      </c>
      <c r="G70" s="26">
        <v>45950</v>
      </c>
      <c r="H70" s="26"/>
    </row>
    <row r="71" spans="1:8" ht="15.75" customHeight="1" x14ac:dyDescent="0.15">
      <c r="A71" s="19" t="s">
        <v>220</v>
      </c>
      <c r="B71" s="19" t="s">
        <v>125</v>
      </c>
      <c r="C71" s="19" t="s">
        <v>221</v>
      </c>
      <c r="D71" s="19" t="s">
        <v>230</v>
      </c>
      <c r="E71" s="19" t="s">
        <v>231</v>
      </c>
      <c r="F71" s="19">
        <v>58.521999999999998</v>
      </c>
      <c r="G71" s="26">
        <v>45951</v>
      </c>
      <c r="H71" s="26"/>
    </row>
    <row r="72" spans="1:8" ht="15.75" customHeight="1" x14ac:dyDescent="0.15">
      <c r="A72" s="19" t="s">
        <v>220</v>
      </c>
      <c r="B72" s="19" t="s">
        <v>128</v>
      </c>
      <c r="C72" s="19" t="s">
        <v>221</v>
      </c>
      <c r="D72" s="19" t="s">
        <v>232</v>
      </c>
      <c r="E72" s="19" t="s">
        <v>233</v>
      </c>
      <c r="F72" s="19">
        <v>55.564</v>
      </c>
      <c r="G72" s="26">
        <v>45950</v>
      </c>
      <c r="H72" s="26"/>
    </row>
    <row r="73" spans="1:8" ht="15.75" customHeight="1" x14ac:dyDescent="0.15">
      <c r="A73" s="783" t="s">
        <v>234</v>
      </c>
      <c r="B73" s="784"/>
      <c r="C73" s="784"/>
      <c r="D73" s="784"/>
      <c r="E73" s="784"/>
      <c r="F73" s="784"/>
      <c r="G73" s="784"/>
      <c r="H73" s="1"/>
    </row>
    <row r="74" spans="1:8" ht="15.75" customHeight="1" x14ac:dyDescent="0.15">
      <c r="A74" s="783" t="s">
        <v>235</v>
      </c>
      <c r="B74" s="784"/>
      <c r="C74" s="784"/>
      <c r="D74" s="784"/>
      <c r="E74" s="784"/>
      <c r="F74" s="784"/>
      <c r="G74" s="784"/>
      <c r="H74" s="1"/>
    </row>
    <row r="75" spans="1:8" ht="15.75" customHeight="1" x14ac:dyDescent="0.15">
      <c r="A75" s="19" t="s">
        <v>235</v>
      </c>
      <c r="B75" s="19" t="s">
        <v>112</v>
      </c>
      <c r="C75" s="19" t="s">
        <v>236</v>
      </c>
      <c r="D75" s="19" t="s">
        <v>237</v>
      </c>
      <c r="E75" s="19" t="s">
        <v>238</v>
      </c>
      <c r="F75" s="19">
        <v>0.25800000000000001</v>
      </c>
      <c r="G75" s="26">
        <v>45961</v>
      </c>
      <c r="H75" s="26"/>
    </row>
    <row r="76" spans="1:8" ht="15.75" customHeight="1" x14ac:dyDescent="0.15">
      <c r="A76" s="19" t="s">
        <v>235</v>
      </c>
      <c r="B76" s="19" t="s">
        <v>116</v>
      </c>
      <c r="C76" s="19" t="s">
        <v>236</v>
      </c>
      <c r="D76" s="19" t="s">
        <v>239</v>
      </c>
      <c r="E76" s="19" t="s">
        <v>240</v>
      </c>
      <c r="F76" s="19">
        <v>2.1930000000000001</v>
      </c>
      <c r="G76" s="26">
        <v>45961</v>
      </c>
      <c r="H76" s="26"/>
    </row>
    <row r="77" spans="1:8" ht="15.75" customHeight="1" x14ac:dyDescent="0.15">
      <c r="A77" s="19" t="s">
        <v>235</v>
      </c>
      <c r="B77" s="19" t="s">
        <v>119</v>
      </c>
      <c r="C77" s="19" t="s">
        <v>236</v>
      </c>
      <c r="D77" s="19" t="s">
        <v>241</v>
      </c>
      <c r="E77" s="19" t="s">
        <v>242</v>
      </c>
      <c r="F77" s="19">
        <v>0.53</v>
      </c>
      <c r="G77" s="26">
        <v>45961</v>
      </c>
      <c r="H77" s="26"/>
    </row>
    <row r="78" spans="1:8" ht="15.75" customHeight="1" x14ac:dyDescent="0.15">
      <c r="A78" s="19" t="s">
        <v>235</v>
      </c>
      <c r="B78" s="19" t="s">
        <v>122</v>
      </c>
      <c r="C78" s="19" t="s">
        <v>236</v>
      </c>
      <c r="D78" s="19" t="s">
        <v>243</v>
      </c>
      <c r="E78" s="19" t="s">
        <v>244</v>
      </c>
      <c r="F78" s="19">
        <v>0.17</v>
      </c>
      <c r="G78" s="26">
        <v>45961</v>
      </c>
      <c r="H78" s="26"/>
    </row>
    <row r="79" spans="1:8" ht="15.75" customHeight="1" x14ac:dyDescent="0.15">
      <c r="A79" s="19" t="s">
        <v>235</v>
      </c>
      <c r="B79" s="19" t="s">
        <v>125</v>
      </c>
      <c r="C79" s="19" t="s">
        <v>236</v>
      </c>
      <c r="D79" s="19" t="s">
        <v>245</v>
      </c>
      <c r="E79" s="19" t="s">
        <v>246</v>
      </c>
      <c r="F79" s="19">
        <v>4.87</v>
      </c>
      <c r="G79" s="26">
        <v>45961</v>
      </c>
      <c r="H79" s="26"/>
    </row>
    <row r="80" spans="1:8" ht="15.75" customHeight="1" x14ac:dyDescent="0.15">
      <c r="A80" s="19" t="s">
        <v>235</v>
      </c>
      <c r="B80" s="19" t="s">
        <v>128</v>
      </c>
      <c r="C80" s="19" t="s">
        <v>236</v>
      </c>
      <c r="D80" s="19" t="s">
        <v>247</v>
      </c>
      <c r="E80" s="19" t="s">
        <v>248</v>
      </c>
      <c r="F80" s="19">
        <v>5.1313000000000004</v>
      </c>
      <c r="G80" s="26">
        <v>45961</v>
      </c>
      <c r="H80" s="26"/>
    </row>
    <row r="81" spans="1:8" ht="15.75" customHeight="1" x14ac:dyDescent="0.15">
      <c r="A81" s="783" t="s">
        <v>249</v>
      </c>
      <c r="B81" s="784"/>
      <c r="C81" s="784"/>
      <c r="D81" s="784"/>
      <c r="E81" s="784"/>
      <c r="F81" s="784"/>
      <c r="G81" s="784"/>
      <c r="H81" s="1"/>
    </row>
    <row r="82" spans="1:8" ht="15.75" customHeight="1" x14ac:dyDescent="0.15">
      <c r="A82" s="783" t="s">
        <v>250</v>
      </c>
      <c r="B82" s="784"/>
      <c r="C82" s="784"/>
      <c r="D82" s="784"/>
      <c r="E82" s="784"/>
      <c r="F82" s="784"/>
      <c r="G82" s="784"/>
      <c r="H82" s="1"/>
    </row>
    <row r="83" spans="1:8" ht="15.75" customHeight="1" x14ac:dyDescent="0.15">
      <c r="A83" s="19" t="s">
        <v>250</v>
      </c>
      <c r="B83" s="19" t="s">
        <v>112</v>
      </c>
      <c r="C83" s="19" t="s">
        <v>62</v>
      </c>
      <c r="D83" s="19" t="s">
        <v>251</v>
      </c>
      <c r="E83" s="19" t="s">
        <v>62</v>
      </c>
      <c r="F83" s="19">
        <v>28.76</v>
      </c>
      <c r="G83" s="26">
        <v>45986</v>
      </c>
      <c r="H83" s="26"/>
    </row>
    <row r="84" spans="1:8" ht="15.75" customHeight="1" x14ac:dyDescent="0.15">
      <c r="A84" s="19" t="s">
        <v>250</v>
      </c>
      <c r="B84" s="19" t="s">
        <v>116</v>
      </c>
      <c r="C84" s="19" t="s">
        <v>62</v>
      </c>
      <c r="D84" s="19" t="s">
        <v>252</v>
      </c>
      <c r="E84" s="19" t="s">
        <v>62</v>
      </c>
      <c r="F84" s="19">
        <v>93.25</v>
      </c>
      <c r="G84" s="26">
        <v>45993</v>
      </c>
      <c r="H84" s="26"/>
    </row>
    <row r="85" spans="1:8" ht="15.75" customHeight="1" x14ac:dyDescent="0.15">
      <c r="A85" s="19" t="s">
        <v>250</v>
      </c>
      <c r="B85" s="19" t="s">
        <v>119</v>
      </c>
      <c r="C85" s="19" t="s">
        <v>62</v>
      </c>
      <c r="D85" s="19" t="s">
        <v>253</v>
      </c>
      <c r="E85" s="19" t="s">
        <v>62</v>
      </c>
      <c r="F85" s="19">
        <v>29.6</v>
      </c>
      <c r="G85" s="26">
        <v>45985</v>
      </c>
      <c r="H85" s="26"/>
    </row>
    <row r="86" spans="1:8" ht="15.75" customHeight="1" x14ac:dyDescent="0.15">
      <c r="A86" s="19" t="s">
        <v>250</v>
      </c>
      <c r="B86" s="19" t="s">
        <v>122</v>
      </c>
      <c r="C86" s="19" t="s">
        <v>62</v>
      </c>
      <c r="D86" s="19" t="s">
        <v>254</v>
      </c>
      <c r="E86" s="19" t="s">
        <v>62</v>
      </c>
      <c r="F86" s="19">
        <v>3.19</v>
      </c>
      <c r="G86" s="26">
        <v>45985</v>
      </c>
      <c r="H86" s="26"/>
    </row>
    <row r="87" spans="1:8" ht="15.75" customHeight="1" x14ac:dyDescent="0.15">
      <c r="A87" s="19" t="s">
        <v>250</v>
      </c>
      <c r="B87" s="19" t="s">
        <v>125</v>
      </c>
      <c r="C87" s="19" t="s">
        <v>62</v>
      </c>
      <c r="D87" s="19"/>
      <c r="E87" s="19" t="s">
        <v>62</v>
      </c>
      <c r="F87" s="19">
        <v>89.22</v>
      </c>
      <c r="G87" s="26">
        <v>46003</v>
      </c>
      <c r="H87" s="26"/>
    </row>
    <row r="88" spans="1:8" ht="15.75" customHeight="1" x14ac:dyDescent="0.15">
      <c r="A88" s="19" t="s">
        <v>250</v>
      </c>
      <c r="B88" s="19" t="s">
        <v>128</v>
      </c>
      <c r="C88" s="19" t="s">
        <v>62</v>
      </c>
      <c r="D88" s="19"/>
      <c r="E88" s="19" t="s">
        <v>62</v>
      </c>
      <c r="F88" s="19">
        <v>69.849999999999994</v>
      </c>
      <c r="G88" s="26">
        <v>46016</v>
      </c>
      <c r="H88" s="26"/>
    </row>
    <row r="89" spans="1:8" ht="14" x14ac:dyDescent="0.15">
      <c r="A89" s="783" t="s">
        <v>255</v>
      </c>
      <c r="B89" s="784"/>
      <c r="C89" s="784"/>
      <c r="D89" s="784"/>
      <c r="E89" s="784"/>
      <c r="F89" s="784"/>
      <c r="G89" s="784"/>
      <c r="H89" s="27"/>
    </row>
    <row r="90" spans="1:8" ht="14" x14ac:dyDescent="0.15">
      <c r="A90" s="783" t="s">
        <v>256</v>
      </c>
      <c r="B90" s="784"/>
      <c r="C90" s="784"/>
      <c r="D90" s="784"/>
      <c r="E90" s="784"/>
      <c r="F90" s="784"/>
      <c r="G90" s="784"/>
      <c r="H90" s="27"/>
    </row>
    <row r="91" spans="1:8" ht="14" x14ac:dyDescent="0.15">
      <c r="A91" s="19" t="s">
        <v>256</v>
      </c>
      <c r="B91" s="19" t="s">
        <v>112</v>
      </c>
      <c r="C91" s="19" t="s">
        <v>236</v>
      </c>
      <c r="D91" s="19" t="s">
        <v>257</v>
      </c>
      <c r="E91" s="19" t="s">
        <v>258</v>
      </c>
      <c r="F91" s="19">
        <v>1.86</v>
      </c>
      <c r="G91" s="26">
        <v>46063</v>
      </c>
      <c r="H91" s="27"/>
    </row>
    <row r="92" spans="1:8" ht="14" x14ac:dyDescent="0.15">
      <c r="A92" s="19" t="s">
        <v>256</v>
      </c>
      <c r="B92" s="19" t="s">
        <v>116</v>
      </c>
      <c r="C92" s="19" t="s">
        <v>236</v>
      </c>
      <c r="D92" s="19" t="s">
        <v>259</v>
      </c>
      <c r="E92" s="19" t="s">
        <v>260</v>
      </c>
      <c r="F92" s="19">
        <v>5.86</v>
      </c>
      <c r="G92" s="26">
        <v>46064</v>
      </c>
      <c r="H92" s="27"/>
    </row>
    <row r="93" spans="1:8" ht="14" x14ac:dyDescent="0.15">
      <c r="A93" s="19" t="s">
        <v>256</v>
      </c>
      <c r="B93" s="19" t="s">
        <v>119</v>
      </c>
      <c r="C93" s="19" t="s">
        <v>236</v>
      </c>
      <c r="D93" s="19" t="s">
        <v>261</v>
      </c>
      <c r="E93" s="19" t="s">
        <v>262</v>
      </c>
      <c r="F93" s="19">
        <v>2.4300000000000002</v>
      </c>
      <c r="G93" s="26">
        <v>46063</v>
      </c>
      <c r="H93" s="27"/>
    </row>
    <row r="94" spans="1:8" ht="14" x14ac:dyDescent="0.15">
      <c r="A94" s="19" t="s">
        <v>256</v>
      </c>
      <c r="B94" s="19" t="s">
        <v>122</v>
      </c>
      <c r="C94" s="19" t="s">
        <v>236</v>
      </c>
      <c r="D94" s="19" t="s">
        <v>263</v>
      </c>
      <c r="E94" s="19" t="s">
        <v>264</v>
      </c>
      <c r="F94" s="19">
        <v>0.35</v>
      </c>
      <c r="G94" s="24">
        <v>46063</v>
      </c>
      <c r="H94" s="27"/>
    </row>
    <row r="95" spans="1:8" ht="14" x14ac:dyDescent="0.15">
      <c r="A95" s="19" t="s">
        <v>256</v>
      </c>
      <c r="B95" s="19" t="s">
        <v>125</v>
      </c>
      <c r="C95" s="19" t="s">
        <v>236</v>
      </c>
      <c r="D95" s="19" t="s">
        <v>265</v>
      </c>
      <c r="E95" s="19" t="s">
        <v>266</v>
      </c>
      <c r="F95" s="19">
        <v>11.58</v>
      </c>
      <c r="G95" s="26">
        <v>46065</v>
      </c>
      <c r="H95" s="27"/>
    </row>
    <row r="96" spans="1:8" ht="14" x14ac:dyDescent="0.15">
      <c r="A96" s="19" t="s">
        <v>256</v>
      </c>
      <c r="B96" s="19" t="s">
        <v>128</v>
      </c>
      <c r="C96" s="19" t="s">
        <v>236</v>
      </c>
      <c r="D96" s="19" t="s">
        <v>267</v>
      </c>
      <c r="E96" s="19" t="s">
        <v>268</v>
      </c>
      <c r="F96" s="19">
        <v>10.32</v>
      </c>
      <c r="G96" s="26">
        <v>46064</v>
      </c>
      <c r="H96" s="27"/>
    </row>
    <row r="97" spans="1:8" ht="14" x14ac:dyDescent="0.15">
      <c r="A97" s="783" t="s">
        <v>269</v>
      </c>
      <c r="B97" s="784"/>
      <c r="C97" s="784"/>
      <c r="D97" s="784"/>
      <c r="E97" s="784"/>
      <c r="F97" s="784"/>
      <c r="G97" s="784"/>
      <c r="H97" s="27"/>
    </row>
    <row r="98" spans="1:8" ht="14" x14ac:dyDescent="0.15">
      <c r="A98" s="783" t="s">
        <v>270</v>
      </c>
      <c r="B98" s="784"/>
      <c r="C98" s="784"/>
      <c r="D98" s="784"/>
      <c r="E98" s="784"/>
      <c r="F98" s="784"/>
      <c r="G98" s="784"/>
      <c r="H98" s="27"/>
    </row>
    <row r="99" spans="1:8" ht="14" x14ac:dyDescent="0.15">
      <c r="A99" s="19" t="s">
        <v>270</v>
      </c>
      <c r="B99" s="19" t="s">
        <v>112</v>
      </c>
      <c r="C99" s="19" t="s">
        <v>271</v>
      </c>
      <c r="D99" s="19" t="s">
        <v>272</v>
      </c>
      <c r="E99" s="19" t="s">
        <v>273</v>
      </c>
      <c r="F99" s="19">
        <v>0.59</v>
      </c>
      <c r="G99" s="26">
        <v>46065</v>
      </c>
      <c r="H99" s="27"/>
    </row>
    <row r="100" spans="1:8" ht="14" x14ac:dyDescent="0.15">
      <c r="A100" s="19" t="s">
        <v>270</v>
      </c>
      <c r="B100" s="19" t="s">
        <v>116</v>
      </c>
      <c r="C100" s="19" t="s">
        <v>271</v>
      </c>
      <c r="D100" s="19" t="s">
        <v>274</v>
      </c>
      <c r="E100" s="19" t="s">
        <v>275</v>
      </c>
      <c r="F100" s="19">
        <v>3.27</v>
      </c>
      <c r="G100" s="26">
        <v>46065</v>
      </c>
      <c r="H100" s="27"/>
    </row>
    <row r="101" spans="1:8" ht="14" x14ac:dyDescent="0.15">
      <c r="A101" s="19" t="s">
        <v>270</v>
      </c>
      <c r="B101" s="19" t="s">
        <v>119</v>
      </c>
      <c r="C101" s="19" t="s">
        <v>271</v>
      </c>
      <c r="D101" s="19" t="s">
        <v>276</v>
      </c>
      <c r="E101" s="19" t="s">
        <v>277</v>
      </c>
      <c r="F101" s="19">
        <v>1.01</v>
      </c>
      <c r="G101" s="26">
        <v>46065</v>
      </c>
      <c r="H101" s="27"/>
    </row>
    <row r="102" spans="1:8" ht="14" x14ac:dyDescent="0.15">
      <c r="A102" s="19" t="s">
        <v>270</v>
      </c>
      <c r="B102" s="19" t="s">
        <v>122</v>
      </c>
      <c r="C102" s="19" t="s">
        <v>271</v>
      </c>
      <c r="D102" s="19" t="s">
        <v>278</v>
      </c>
      <c r="E102" s="19" t="s">
        <v>279</v>
      </c>
      <c r="F102" s="19">
        <v>0.16</v>
      </c>
      <c r="G102" s="24">
        <v>46063</v>
      </c>
      <c r="H102" s="27"/>
    </row>
    <row r="103" spans="1:8" ht="14" x14ac:dyDescent="0.15">
      <c r="A103" s="19" t="s">
        <v>270</v>
      </c>
      <c r="B103" s="19" t="s">
        <v>125</v>
      </c>
      <c r="C103" s="19" t="s">
        <v>271</v>
      </c>
      <c r="D103" s="19" t="s">
        <v>280</v>
      </c>
      <c r="E103" s="19" t="s">
        <v>281</v>
      </c>
      <c r="F103" s="19">
        <v>12.15</v>
      </c>
      <c r="G103" s="26">
        <v>46066</v>
      </c>
      <c r="H103" s="27"/>
    </row>
    <row r="104" spans="1:8" ht="14" x14ac:dyDescent="0.15">
      <c r="A104" s="19" t="s">
        <v>270</v>
      </c>
      <c r="B104" s="19" t="s">
        <v>128</v>
      </c>
      <c r="C104" s="19" t="s">
        <v>271</v>
      </c>
      <c r="D104" s="19" t="s">
        <v>282</v>
      </c>
      <c r="E104" s="19" t="s">
        <v>283</v>
      </c>
      <c r="F104" s="19">
        <v>9.7200000000000006</v>
      </c>
      <c r="G104" s="26">
        <v>46066</v>
      </c>
      <c r="H104" s="27"/>
    </row>
    <row r="105" spans="1:8" ht="14" x14ac:dyDescent="0.15">
      <c r="A105" s="783" t="s">
        <v>284</v>
      </c>
      <c r="B105" s="784"/>
      <c r="C105" s="784"/>
      <c r="D105" s="784"/>
      <c r="E105" s="784"/>
      <c r="F105" s="784"/>
      <c r="G105" s="784"/>
      <c r="H105" s="27"/>
    </row>
    <row r="106" spans="1:8" ht="14" x14ac:dyDescent="0.15">
      <c r="A106" s="783" t="s">
        <v>34</v>
      </c>
      <c r="B106" s="784"/>
      <c r="C106" s="784"/>
      <c r="D106" s="784"/>
      <c r="E106" s="784"/>
      <c r="F106" s="784"/>
      <c r="G106" s="784"/>
      <c r="H106" s="27"/>
    </row>
    <row r="107" spans="1:8" ht="14" x14ac:dyDescent="0.15">
      <c r="A107" s="19" t="s">
        <v>34</v>
      </c>
      <c r="B107" s="19" t="s">
        <v>112</v>
      </c>
      <c r="C107" s="19" t="s">
        <v>236</v>
      </c>
      <c r="D107" s="19" t="s">
        <v>285</v>
      </c>
      <c r="E107" s="19" t="s">
        <v>286</v>
      </c>
      <c r="F107" s="19">
        <v>0.61</v>
      </c>
      <c r="G107" s="26">
        <v>46069</v>
      </c>
      <c r="H107" s="27"/>
    </row>
    <row r="108" spans="1:8" ht="14" x14ac:dyDescent="0.15">
      <c r="A108" s="19" t="s">
        <v>34</v>
      </c>
      <c r="B108" s="19" t="s">
        <v>116</v>
      </c>
      <c r="C108" s="19" t="s">
        <v>236</v>
      </c>
      <c r="D108" s="19" t="s">
        <v>287</v>
      </c>
      <c r="E108" s="19" t="s">
        <v>288</v>
      </c>
      <c r="F108" s="19">
        <v>2.58</v>
      </c>
      <c r="G108" s="26">
        <v>46069</v>
      </c>
      <c r="H108" s="27"/>
    </row>
    <row r="109" spans="1:8" ht="14" x14ac:dyDescent="0.15">
      <c r="A109" s="19" t="s">
        <v>34</v>
      </c>
      <c r="B109" s="19" t="s">
        <v>119</v>
      </c>
      <c r="C109" s="19" t="s">
        <v>236</v>
      </c>
      <c r="D109" s="19" t="s">
        <v>289</v>
      </c>
      <c r="E109" s="19" t="s">
        <v>290</v>
      </c>
      <c r="F109" s="19">
        <v>0.88</v>
      </c>
      <c r="G109" s="26">
        <v>46069</v>
      </c>
      <c r="H109" s="27"/>
    </row>
    <row r="110" spans="1:8" ht="14" x14ac:dyDescent="0.15">
      <c r="A110" s="19" t="s">
        <v>34</v>
      </c>
      <c r="B110" s="19" t="s">
        <v>122</v>
      </c>
      <c r="C110" s="19" t="s">
        <v>236</v>
      </c>
      <c r="D110" s="19" t="s">
        <v>291</v>
      </c>
      <c r="E110" s="19" t="s">
        <v>292</v>
      </c>
      <c r="F110" s="19">
        <v>0.22</v>
      </c>
      <c r="G110" s="24">
        <v>46070</v>
      </c>
      <c r="H110" s="27"/>
    </row>
    <row r="111" spans="1:8" ht="14" x14ac:dyDescent="0.15">
      <c r="A111" s="19" t="s">
        <v>34</v>
      </c>
      <c r="B111" s="19" t="s">
        <v>125</v>
      </c>
      <c r="C111" s="19" t="s">
        <v>236</v>
      </c>
      <c r="D111" s="19" t="s">
        <v>293</v>
      </c>
      <c r="E111" s="19" t="s">
        <v>294</v>
      </c>
      <c r="F111" s="19">
        <v>5.71</v>
      </c>
      <c r="G111" s="26">
        <v>46070</v>
      </c>
      <c r="H111" s="27"/>
    </row>
    <row r="112" spans="1:8" ht="14" x14ac:dyDescent="0.15">
      <c r="A112" s="19" t="s">
        <v>34</v>
      </c>
      <c r="B112" s="19" t="s">
        <v>128</v>
      </c>
      <c r="C112" s="19" t="s">
        <v>236</v>
      </c>
      <c r="D112" s="19" t="s">
        <v>295</v>
      </c>
      <c r="E112" s="19" t="s">
        <v>296</v>
      </c>
      <c r="F112" s="19">
        <v>3.85</v>
      </c>
      <c r="G112" s="26">
        <v>46071</v>
      </c>
      <c r="H112" s="27"/>
    </row>
    <row r="113" spans="1:8" ht="14" x14ac:dyDescent="0.15">
      <c r="A113" s="783" t="s">
        <v>297</v>
      </c>
      <c r="B113" s="784"/>
      <c r="C113" s="784"/>
      <c r="D113" s="784"/>
      <c r="E113" s="784"/>
      <c r="F113" s="784"/>
      <c r="G113" s="784"/>
      <c r="H113" s="27"/>
    </row>
    <row r="114" spans="1:8" ht="14" x14ac:dyDescent="0.15">
      <c r="A114" s="19" t="s">
        <v>34</v>
      </c>
      <c r="B114" s="19" t="s">
        <v>298</v>
      </c>
      <c r="C114" s="19" t="s">
        <v>236</v>
      </c>
      <c r="D114" s="19" t="s">
        <v>299</v>
      </c>
      <c r="E114" s="19" t="s">
        <v>300</v>
      </c>
      <c r="F114" s="19">
        <v>3.19</v>
      </c>
      <c r="G114" s="26">
        <v>46072</v>
      </c>
      <c r="H114" s="27"/>
    </row>
    <row r="115" spans="1:8" ht="14" x14ac:dyDescent="0.15">
      <c r="A115" s="19" t="s">
        <v>34</v>
      </c>
      <c r="B115" s="19" t="s">
        <v>301</v>
      </c>
      <c r="C115" s="19" t="s">
        <v>236</v>
      </c>
      <c r="D115" s="19" t="s">
        <v>302</v>
      </c>
      <c r="E115" s="19" t="s">
        <v>303</v>
      </c>
      <c r="F115" s="19">
        <v>1.21</v>
      </c>
      <c r="G115" s="26">
        <v>46072</v>
      </c>
      <c r="H115" s="27"/>
    </row>
    <row r="116" spans="1:8" ht="14" x14ac:dyDescent="0.15">
      <c r="A116" s="19" t="s">
        <v>34</v>
      </c>
      <c r="B116" s="19" t="s">
        <v>304</v>
      </c>
      <c r="C116" s="19" t="s">
        <v>236</v>
      </c>
      <c r="D116" s="19" t="s">
        <v>305</v>
      </c>
      <c r="E116" s="19" t="s">
        <v>306</v>
      </c>
      <c r="F116" s="19">
        <v>2.94</v>
      </c>
      <c r="G116" s="26">
        <v>46073</v>
      </c>
      <c r="H116" s="27"/>
    </row>
    <row r="117" spans="1:8" ht="14" x14ac:dyDescent="0.15">
      <c r="A117" s="19" t="s">
        <v>34</v>
      </c>
      <c r="B117" s="19" t="s">
        <v>307</v>
      </c>
      <c r="C117" s="19" t="s">
        <v>236</v>
      </c>
      <c r="D117" s="19" t="s">
        <v>199</v>
      </c>
      <c r="E117" s="19" t="s">
        <v>308</v>
      </c>
      <c r="F117" s="19">
        <v>0.3</v>
      </c>
      <c r="G117" s="24">
        <v>46073</v>
      </c>
      <c r="H117" s="27"/>
    </row>
    <row r="118" spans="1:8" ht="14" x14ac:dyDescent="0.15">
      <c r="A118" s="19" t="s">
        <v>34</v>
      </c>
      <c r="B118" s="19" t="s">
        <v>309</v>
      </c>
      <c r="C118" s="19" t="s">
        <v>236</v>
      </c>
      <c r="D118" s="19"/>
      <c r="E118" s="19"/>
      <c r="F118" s="19"/>
      <c r="G118" s="19"/>
      <c r="H118" s="27"/>
    </row>
    <row r="119" spans="1:8" ht="14" x14ac:dyDescent="0.15">
      <c r="A119" s="783" t="s">
        <v>310</v>
      </c>
      <c r="B119" s="784"/>
      <c r="C119" s="784"/>
      <c r="D119" s="784"/>
      <c r="E119" s="784"/>
      <c r="F119" s="784"/>
      <c r="G119" s="784"/>
      <c r="H119" s="27"/>
    </row>
    <row r="120" spans="1:8" ht="14" x14ac:dyDescent="0.15">
      <c r="A120" s="19" t="s">
        <v>310</v>
      </c>
      <c r="B120" s="19" t="s">
        <v>112</v>
      </c>
      <c r="C120" s="19" t="s">
        <v>236</v>
      </c>
      <c r="D120" s="19" t="s">
        <v>311</v>
      </c>
      <c r="E120" s="19" t="s">
        <v>312</v>
      </c>
      <c r="F120" s="19">
        <v>0.93</v>
      </c>
      <c r="G120" s="26">
        <v>46076</v>
      </c>
      <c r="H120" s="27"/>
    </row>
    <row r="121" spans="1:8" ht="14" x14ac:dyDescent="0.15">
      <c r="A121" s="19" t="s">
        <v>310</v>
      </c>
      <c r="B121" s="19" t="s">
        <v>116</v>
      </c>
      <c r="C121" s="19" t="s">
        <v>236</v>
      </c>
      <c r="D121" s="19" t="s">
        <v>313</v>
      </c>
      <c r="E121" s="19" t="s">
        <v>314</v>
      </c>
      <c r="F121" s="19">
        <v>3.08</v>
      </c>
      <c r="G121" s="26">
        <v>46076</v>
      </c>
      <c r="H121" s="27"/>
    </row>
    <row r="122" spans="1:8" ht="14" x14ac:dyDescent="0.15">
      <c r="A122" s="19" t="s">
        <v>310</v>
      </c>
      <c r="B122" s="19" t="s">
        <v>119</v>
      </c>
      <c r="C122" s="19" t="s">
        <v>236</v>
      </c>
      <c r="D122" s="19" t="s">
        <v>315</v>
      </c>
      <c r="E122" s="19" t="s">
        <v>316</v>
      </c>
      <c r="F122" s="19">
        <v>5.0999999999999996</v>
      </c>
      <c r="G122" s="26">
        <v>46077</v>
      </c>
      <c r="H122" s="27"/>
    </row>
    <row r="123" spans="1:8" ht="14" x14ac:dyDescent="0.15">
      <c r="A123" s="19" t="s">
        <v>310</v>
      </c>
      <c r="B123" s="19" t="s">
        <v>122</v>
      </c>
      <c r="C123" s="19" t="s">
        <v>236</v>
      </c>
      <c r="D123" s="19" t="s">
        <v>317</v>
      </c>
      <c r="E123" s="19" t="s">
        <v>318</v>
      </c>
      <c r="F123" s="19">
        <v>0.78</v>
      </c>
      <c r="G123" s="24">
        <v>46077</v>
      </c>
      <c r="H123" s="27"/>
    </row>
    <row r="124" spans="1:8" ht="14" x14ac:dyDescent="0.15">
      <c r="A124" s="19" t="s">
        <v>310</v>
      </c>
      <c r="B124" s="19" t="s">
        <v>125</v>
      </c>
      <c r="C124" s="19" t="s">
        <v>236</v>
      </c>
      <c r="D124" s="19" t="s">
        <v>319</v>
      </c>
      <c r="E124" s="19" t="s">
        <v>320</v>
      </c>
      <c r="F124" s="19">
        <v>7.83</v>
      </c>
      <c r="G124" s="26">
        <v>46078</v>
      </c>
      <c r="H124" s="27"/>
    </row>
    <row r="125" spans="1:8" ht="14" x14ac:dyDescent="0.15">
      <c r="A125" s="19" t="s">
        <v>310</v>
      </c>
      <c r="B125" s="19" t="s">
        <v>128</v>
      </c>
      <c r="C125" s="19" t="s">
        <v>236</v>
      </c>
      <c r="D125" s="19" t="s">
        <v>321</v>
      </c>
      <c r="E125" s="19" t="s">
        <v>322</v>
      </c>
      <c r="F125" s="19">
        <v>6.47</v>
      </c>
      <c r="G125" s="26">
        <v>46079</v>
      </c>
      <c r="H125" s="27"/>
    </row>
    <row r="126" spans="1:8" ht="14" x14ac:dyDescent="0.15">
      <c r="A126" s="783" t="s">
        <v>323</v>
      </c>
      <c r="B126" s="784"/>
      <c r="C126" s="784"/>
      <c r="D126" s="784"/>
      <c r="E126" s="784"/>
      <c r="F126" s="784"/>
      <c r="G126" s="784"/>
      <c r="H126" s="27"/>
    </row>
    <row r="127" spans="1:8" ht="14" x14ac:dyDescent="0.15">
      <c r="A127" s="783" t="s">
        <v>324</v>
      </c>
      <c r="B127" s="784"/>
      <c r="C127" s="784"/>
      <c r="D127" s="784"/>
      <c r="E127" s="784"/>
      <c r="F127" s="784"/>
      <c r="G127" s="784"/>
      <c r="H127" s="27"/>
    </row>
    <row r="128" spans="1:8" ht="14" x14ac:dyDescent="0.15">
      <c r="A128" s="19" t="s">
        <v>325</v>
      </c>
      <c r="B128" s="19" t="s">
        <v>112</v>
      </c>
      <c r="C128" s="19" t="s">
        <v>62</v>
      </c>
      <c r="D128" s="19"/>
      <c r="E128" s="19" t="s">
        <v>62</v>
      </c>
      <c r="F128" s="19">
        <v>0.66</v>
      </c>
      <c r="G128" s="26">
        <v>46081</v>
      </c>
      <c r="H128" s="27"/>
    </row>
    <row r="129" spans="1:8" ht="14" x14ac:dyDescent="0.15">
      <c r="A129" s="19" t="s">
        <v>326</v>
      </c>
      <c r="B129" s="19" t="s">
        <v>116</v>
      </c>
      <c r="C129" s="19" t="s">
        <v>62</v>
      </c>
      <c r="D129" s="19"/>
      <c r="E129" s="19" t="s">
        <v>62</v>
      </c>
      <c r="F129" s="19">
        <v>1.05</v>
      </c>
      <c r="G129" s="26">
        <v>46081</v>
      </c>
      <c r="H129" s="27"/>
    </row>
    <row r="130" spans="1:8" ht="14" x14ac:dyDescent="0.15">
      <c r="A130" s="19" t="s">
        <v>326</v>
      </c>
      <c r="B130" s="19" t="s">
        <v>119</v>
      </c>
      <c r="C130" s="19" t="s">
        <v>62</v>
      </c>
      <c r="D130" s="19"/>
      <c r="E130" s="19" t="s">
        <v>62</v>
      </c>
      <c r="F130" s="19">
        <v>2.83</v>
      </c>
      <c r="G130" s="26">
        <v>46082</v>
      </c>
      <c r="H130" s="27"/>
    </row>
    <row r="131" spans="1:8" ht="14" x14ac:dyDescent="0.15">
      <c r="A131" s="19" t="s">
        <v>326</v>
      </c>
      <c r="B131" s="19" t="s">
        <v>122</v>
      </c>
      <c r="C131" s="19" t="s">
        <v>62</v>
      </c>
      <c r="D131" s="19"/>
      <c r="E131" s="19" t="s">
        <v>62</v>
      </c>
      <c r="F131" s="19">
        <v>0.38</v>
      </c>
      <c r="G131" s="24">
        <v>46082</v>
      </c>
      <c r="H131" s="27"/>
    </row>
    <row r="132" spans="1:8" ht="14" x14ac:dyDescent="0.15">
      <c r="A132" s="19" t="s">
        <v>326</v>
      </c>
      <c r="B132" s="19" t="s">
        <v>125</v>
      </c>
      <c r="C132" s="19" t="s">
        <v>62</v>
      </c>
      <c r="D132" s="19"/>
      <c r="E132" s="19" t="s">
        <v>62</v>
      </c>
      <c r="F132" s="19">
        <v>8.89</v>
      </c>
      <c r="G132" s="26">
        <v>46083</v>
      </c>
      <c r="H132" s="27"/>
    </row>
    <row r="133" spans="1:8" ht="14" x14ac:dyDescent="0.15">
      <c r="A133" s="19" t="s">
        <v>326</v>
      </c>
      <c r="B133" s="19" t="s">
        <v>128</v>
      </c>
      <c r="C133" s="19" t="s">
        <v>62</v>
      </c>
      <c r="D133" s="19"/>
      <c r="E133" s="19" t="s">
        <v>62</v>
      </c>
      <c r="F133" s="19">
        <v>4.91</v>
      </c>
      <c r="G133" s="26">
        <v>46083</v>
      </c>
      <c r="H133" s="27"/>
    </row>
    <row r="134" spans="1:8" ht="14" x14ac:dyDescent="0.15">
      <c r="A134" s="783" t="s">
        <v>327</v>
      </c>
      <c r="B134" s="784"/>
      <c r="C134" s="784"/>
      <c r="D134" s="784"/>
      <c r="E134" s="784"/>
      <c r="F134" s="784"/>
      <c r="G134" s="784"/>
      <c r="H134" s="27"/>
    </row>
    <row r="135" spans="1:8" ht="14" x14ac:dyDescent="0.15">
      <c r="A135" s="783" t="s">
        <v>328</v>
      </c>
      <c r="B135" s="784"/>
      <c r="C135" s="784"/>
      <c r="D135" s="784"/>
      <c r="E135" s="784"/>
      <c r="F135" s="784"/>
      <c r="G135" s="784"/>
      <c r="H135" s="27"/>
    </row>
    <row r="136" spans="1:8" ht="14" x14ac:dyDescent="0.15">
      <c r="A136" s="19" t="s">
        <v>326</v>
      </c>
      <c r="B136" s="19" t="s">
        <v>112</v>
      </c>
      <c r="C136" s="19" t="s">
        <v>62</v>
      </c>
      <c r="D136" s="19"/>
      <c r="E136" s="19" t="s">
        <v>62</v>
      </c>
      <c r="F136" s="19">
        <v>6.55</v>
      </c>
      <c r="G136" s="26">
        <v>46084</v>
      </c>
      <c r="H136" s="27"/>
    </row>
    <row r="137" spans="1:8" ht="14" x14ac:dyDescent="0.15">
      <c r="A137" s="19" t="s">
        <v>326</v>
      </c>
      <c r="B137" s="19" t="s">
        <v>116</v>
      </c>
      <c r="C137" s="19" t="s">
        <v>62</v>
      </c>
      <c r="D137" s="19"/>
      <c r="E137" s="19" t="s">
        <v>62</v>
      </c>
      <c r="F137" s="19">
        <v>6.93</v>
      </c>
      <c r="G137" s="26">
        <v>46084</v>
      </c>
      <c r="H137" s="27"/>
    </row>
    <row r="138" spans="1:8" ht="14" x14ac:dyDescent="0.15">
      <c r="A138" s="19" t="s">
        <v>326</v>
      </c>
      <c r="B138" s="19" t="s">
        <v>119</v>
      </c>
      <c r="C138" s="19" t="s">
        <v>62</v>
      </c>
      <c r="D138" s="19"/>
      <c r="E138" s="19" t="s">
        <v>62</v>
      </c>
      <c r="F138" s="19">
        <v>5.92</v>
      </c>
      <c r="G138" s="26">
        <v>46085</v>
      </c>
      <c r="H138" s="27"/>
    </row>
    <row r="139" spans="1:8" ht="14" x14ac:dyDescent="0.15">
      <c r="A139" s="19" t="s">
        <v>326</v>
      </c>
      <c r="B139" s="19" t="s">
        <v>122</v>
      </c>
      <c r="C139" s="19" t="s">
        <v>62</v>
      </c>
      <c r="D139" s="19"/>
      <c r="E139" s="19" t="s">
        <v>62</v>
      </c>
      <c r="F139" s="19">
        <v>2.59</v>
      </c>
      <c r="G139" s="24">
        <v>46085</v>
      </c>
      <c r="H139" s="27"/>
    </row>
    <row r="140" spans="1:8" ht="14" x14ac:dyDescent="0.15">
      <c r="A140" s="19" t="s">
        <v>326</v>
      </c>
      <c r="B140" s="19" t="s">
        <v>125</v>
      </c>
      <c r="C140" s="19" t="s">
        <v>62</v>
      </c>
      <c r="D140" s="19"/>
      <c r="E140" s="19" t="s">
        <v>62</v>
      </c>
      <c r="F140" s="19">
        <v>35.47</v>
      </c>
      <c r="G140" s="26">
        <v>46086</v>
      </c>
      <c r="H140" s="27"/>
    </row>
    <row r="141" spans="1:8" ht="14" x14ac:dyDescent="0.15">
      <c r="A141" s="19" t="s">
        <v>326</v>
      </c>
      <c r="B141" s="19" t="s">
        <v>128</v>
      </c>
      <c r="C141" s="19" t="s">
        <v>62</v>
      </c>
      <c r="D141" s="19"/>
      <c r="E141" s="19" t="s">
        <v>62</v>
      </c>
      <c r="F141" s="19">
        <v>13.69</v>
      </c>
      <c r="G141" s="26">
        <v>46086</v>
      </c>
      <c r="H141" s="27"/>
    </row>
    <row r="142" spans="1:8" ht="14" x14ac:dyDescent="0.15">
      <c r="A142" s="783" t="s">
        <v>329</v>
      </c>
      <c r="B142" s="784"/>
      <c r="C142" s="784"/>
      <c r="D142" s="784"/>
      <c r="E142" s="784"/>
      <c r="F142" s="784"/>
      <c r="G142" s="784"/>
      <c r="H142" s="27"/>
    </row>
    <row r="143" spans="1:8" ht="14" x14ac:dyDescent="0.15">
      <c r="A143" s="783" t="s">
        <v>40</v>
      </c>
      <c r="B143" s="784"/>
      <c r="C143" s="784"/>
      <c r="D143" s="784"/>
      <c r="E143" s="784"/>
      <c r="F143" s="784"/>
      <c r="G143" s="784"/>
      <c r="H143" s="27"/>
    </row>
    <row r="144" spans="1:8" ht="14" x14ac:dyDescent="0.15">
      <c r="A144" s="19" t="s">
        <v>40</v>
      </c>
      <c r="B144" s="19" t="s">
        <v>112</v>
      </c>
      <c r="C144" s="19" t="s">
        <v>330</v>
      </c>
      <c r="D144" s="19" t="s">
        <v>331</v>
      </c>
      <c r="E144" s="19" t="s">
        <v>332</v>
      </c>
      <c r="F144" s="19">
        <v>1.88</v>
      </c>
      <c r="G144" s="26">
        <v>46090</v>
      </c>
      <c r="H144" s="27"/>
    </row>
    <row r="145" spans="1:8" ht="14" x14ac:dyDescent="0.15">
      <c r="A145" s="19" t="s">
        <v>40</v>
      </c>
      <c r="B145" s="19" t="s">
        <v>116</v>
      </c>
      <c r="C145" s="19" t="s">
        <v>330</v>
      </c>
      <c r="D145" s="19" t="s">
        <v>333</v>
      </c>
      <c r="E145" s="19" t="s">
        <v>334</v>
      </c>
      <c r="F145" s="19">
        <v>3.01</v>
      </c>
      <c r="G145" s="26">
        <v>46090</v>
      </c>
      <c r="H145" s="27"/>
    </row>
    <row r="146" spans="1:8" ht="14" x14ac:dyDescent="0.15">
      <c r="A146" s="19" t="s">
        <v>40</v>
      </c>
      <c r="B146" s="19" t="s">
        <v>119</v>
      </c>
      <c r="C146" s="19" t="s">
        <v>330</v>
      </c>
      <c r="D146" s="19" t="s">
        <v>335</v>
      </c>
      <c r="E146" s="19" t="s">
        <v>336</v>
      </c>
      <c r="F146" s="19">
        <v>2.21</v>
      </c>
      <c r="G146" s="26">
        <v>46091</v>
      </c>
      <c r="H146" s="27"/>
    </row>
    <row r="147" spans="1:8" ht="14" x14ac:dyDescent="0.15">
      <c r="A147" s="19" t="s">
        <v>40</v>
      </c>
      <c r="B147" s="19" t="s">
        <v>122</v>
      </c>
      <c r="C147" s="19" t="s">
        <v>330</v>
      </c>
      <c r="D147" s="19" t="s">
        <v>337</v>
      </c>
      <c r="E147" s="19" t="s">
        <v>338</v>
      </c>
      <c r="F147" s="19">
        <v>0.71</v>
      </c>
      <c r="G147" s="24">
        <v>46091</v>
      </c>
      <c r="H147" s="27"/>
    </row>
    <row r="148" spans="1:8" ht="14" x14ac:dyDescent="0.15">
      <c r="A148" s="19" t="s">
        <v>40</v>
      </c>
      <c r="B148" s="19" t="s">
        <v>125</v>
      </c>
      <c r="C148" s="19" t="s">
        <v>330</v>
      </c>
      <c r="D148" s="19" t="s">
        <v>339</v>
      </c>
      <c r="E148" s="19" t="s">
        <v>340</v>
      </c>
      <c r="F148" s="19">
        <v>7.24</v>
      </c>
      <c r="G148" s="26">
        <v>46092</v>
      </c>
      <c r="H148" s="27"/>
    </row>
    <row r="149" spans="1:8" ht="14" x14ac:dyDescent="0.15">
      <c r="A149" s="19" t="s">
        <v>40</v>
      </c>
      <c r="B149" s="19" t="s">
        <v>128</v>
      </c>
      <c r="C149" s="19" t="s">
        <v>330</v>
      </c>
      <c r="D149" s="19" t="s">
        <v>341</v>
      </c>
      <c r="E149" s="19" t="s">
        <v>342</v>
      </c>
      <c r="F149" s="19">
        <v>9.27</v>
      </c>
      <c r="G149" s="26">
        <v>46093</v>
      </c>
      <c r="H149" s="27"/>
    </row>
    <row r="150" spans="1:8" ht="14" x14ac:dyDescent="0.15">
      <c r="A150" s="783" t="s">
        <v>343</v>
      </c>
      <c r="B150" s="784"/>
      <c r="C150" s="784"/>
      <c r="D150" s="784"/>
      <c r="E150" s="784"/>
      <c r="F150" s="784"/>
      <c r="G150" s="784"/>
      <c r="H150" s="27"/>
    </row>
    <row r="151" spans="1:8" ht="16" x14ac:dyDescent="0.2">
      <c r="A151" s="29"/>
      <c r="B151" s="29"/>
      <c r="C151" s="29"/>
      <c r="D151" s="29"/>
      <c r="E151" s="29"/>
      <c r="F151" s="29"/>
      <c r="G151" s="29"/>
    </row>
  </sheetData>
  <mergeCells count="36">
    <mergeCell ref="A135:G135"/>
    <mergeCell ref="A142:G142"/>
    <mergeCell ref="A143:G143"/>
    <mergeCell ref="A150:G150"/>
    <mergeCell ref="A89:G89"/>
    <mergeCell ref="A90:G90"/>
    <mergeCell ref="A97:G97"/>
    <mergeCell ref="A98:G98"/>
    <mergeCell ref="A105:G105"/>
    <mergeCell ref="A106:G106"/>
    <mergeCell ref="A113:G113"/>
    <mergeCell ref="A82:G82"/>
    <mergeCell ref="A119:G119"/>
    <mergeCell ref="A126:G126"/>
    <mergeCell ref="A127:G127"/>
    <mergeCell ref="A134:G134"/>
    <mergeCell ref="A65:G65"/>
    <mergeCell ref="A66:G66"/>
    <mergeCell ref="A73:G73"/>
    <mergeCell ref="A74:G74"/>
    <mergeCell ref="A81:G81"/>
    <mergeCell ref="A42:G42"/>
    <mergeCell ref="A49:G49"/>
    <mergeCell ref="A50:G50"/>
    <mergeCell ref="A57:G57"/>
    <mergeCell ref="A58:G58"/>
    <mergeCell ref="A25:G25"/>
    <mergeCell ref="A26:G26"/>
    <mergeCell ref="A33:G33"/>
    <mergeCell ref="A34:G34"/>
    <mergeCell ref="A41:G41"/>
    <mergeCell ref="A2:G2"/>
    <mergeCell ref="A9:G9"/>
    <mergeCell ref="A10:G10"/>
    <mergeCell ref="A17:G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Final wMMLUPro-v21</vt:lpstr>
      <vt:lpstr>Cost</vt:lpstr>
      <vt:lpstr>MMLU Pro</vt:lpstr>
      <vt:lpstr>Final  (v21) 14B 32B</vt:lpstr>
      <vt:lpstr>Prod Target (v21)</vt:lpstr>
      <vt:lpstr>Glaukopis Baseline (v20)</vt:lpstr>
      <vt:lpstr>Glaukopis Baseline (TEST II))</vt:lpstr>
      <vt:lpstr>Glaukopis (TEST)</vt:lpstr>
      <vt:lpstr>Glaukopis (deprecated)</vt:lpstr>
      <vt:lpstr>AthenaBench (deprecated)</vt:lpstr>
      <vt:lpstr>Cyber Metric</vt:lpstr>
      <vt:lpstr>CTIBench</vt:lpstr>
      <vt:lpstr>NLU Benchmarks</vt:lpstr>
      <vt:lpstr>AthenaBench run (Cost)</vt:lpstr>
      <vt:lpstr>Cost!cost_summary</vt:lpstr>
      <vt:lpstr>'MMLU Pro'!Untitled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Worth Jr</cp:lastModifiedBy>
  <dcterms:created xsi:type="dcterms:W3CDTF">2026-05-10T10:09:34Z</dcterms:created>
  <dcterms:modified xsi:type="dcterms:W3CDTF">2026-05-27T20:33:19Z</dcterms:modified>
</cp:coreProperties>
</file>